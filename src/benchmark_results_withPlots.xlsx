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d sizes" sheetId="1" state="visible" r:id="rId3"/>
    <sheet name="Time vs Vertices" sheetId="2" state="visible" r:id="rId4"/>
    <sheet name="Time vs Edges" sheetId="3" state="visible" r:id="rId5"/>
    <sheet name="DSU" sheetId="4" state="visible" r:id="rId6"/>
    <sheet name="Raw_Required" sheetId="5" state="visible" r:id="rId7"/>
    <sheet name="Raw_ScaleV" sheetId="6" state="visible" r:id="rId8"/>
    <sheet name="Raw_ScaleE" sheetId="7" state="visible" r:id="rId9"/>
    <sheet name="Raw_DSU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<sst xmlns="http://schemas.openxmlformats.org/spreadsheetml/2006/main" count="514" uniqueCount="90">
  <si>
    <t xml:space="preserve">Required sizes: Small / Medium / Large</t>
  </si>
  <si>
    <t xml:space="preserve">graph</t>
  </si>
  <si>
    <t xml:space="preserve">V</t>
  </si>
  <si>
    <t xml:space="preserve">E</t>
  </si>
  <si>
    <t xml:space="preserve">algorithm</t>
  </si>
  <si>
    <t xml:space="preserve">avg_time_us</t>
  </si>
  <si>
    <t xml:space="preserve">edge_examinations</t>
  </si>
  <si>
    <t xml:space="preserve">comparisons</t>
  </si>
  <si>
    <t xml:space="preserve">dsu_ops</t>
  </si>
  <si>
    <t xml:space="preserve">result</t>
  </si>
  <si>
    <t xml:space="preserve">Small</t>
  </si>
  <si>
    <t xml:space="preserve">Kruskal</t>
  </si>
  <si>
    <t xml:space="preserve">weight=129 connected=true</t>
  </si>
  <si>
    <t xml:space="preserve">Prim</t>
  </si>
  <si>
    <t xml:space="preserve">SCC</t>
  </si>
  <si>
    <t xml:space="preserve">components=3 largest=8</t>
  </si>
  <si>
    <t xml:space="preserve">Topo-DAG</t>
  </si>
  <si>
    <t xml:space="preserve">isDag=true valid=true</t>
  </si>
  <si>
    <t xml:space="preserve">Topo-cyclic</t>
  </si>
  <si>
    <t xml:space="preserve">isDag=false ordered=1/10</t>
  </si>
  <si>
    <t xml:space="preserve">Dijkstra</t>
  </si>
  <si>
    <t xml:space="preserve">reachable=9 relaxations=8 heapOps=18</t>
  </si>
  <si>
    <t xml:space="preserve">Medium</t>
  </si>
  <si>
    <t xml:space="preserve">weight=1170 connected=true</t>
  </si>
  <si>
    <t xml:space="preserve">components=4 largest=97</t>
  </si>
  <si>
    <t xml:space="preserve">isDag=false ordered=2/100</t>
  </si>
  <si>
    <t xml:space="preserve">reachable=98 relaxations=141 heapOps=284</t>
  </si>
  <si>
    <t xml:space="preserve">Large</t>
  </si>
  <si>
    <t xml:space="preserve">weight=13123 connected=true</t>
  </si>
  <si>
    <t xml:space="preserve">components=14 largest=987</t>
  </si>
  <si>
    <t xml:space="preserve">isDag=false ordered=8/1000</t>
  </si>
  <si>
    <t xml:space="preserve">reachable=992 relaxations=1410 heapOps=2822</t>
  </si>
  <si>
    <t xml:space="preserve">Execution time (µs) by algorithm</t>
  </si>
  <si>
    <t xml:space="preserve">Graph</t>
  </si>
  <si>
    <t xml:space="preserve">Time vs Vertices</t>
  </si>
  <si>
    <t xml:space="preserve">Formulas pull data from sheet Raw_ScaleV. Time in microseconds (average of 5 runs).</t>
  </si>
  <si>
    <t xml:space="preserve">Average execution time, µs</t>
  </si>
  <si>
    <t xml:space="preserve">Comparisons</t>
  </si>
  <si>
    <t xml:space="preserve">Edge examinations</t>
  </si>
  <si>
    <t xml:space="preserve">Time vs Edges</t>
  </si>
  <si>
    <t xml:space="preserve">Formulas pull data from sheet Raw_ScaleE. Time in microseconds (average of 5 runs).</t>
  </si>
  <si>
    <t xml:space="preserve">DSU: find steps with/without heuristics</t>
  </si>
  <si>
    <t xml:space="preserve">Scenario: chain - steps</t>
  </si>
  <si>
    <t xml:space="preserve">n</t>
  </si>
  <si>
    <t xml:space="preserve">none</t>
  </si>
  <si>
    <t xml:space="preserve">compression only</t>
  </si>
  <si>
    <t xml:space="preserve">union by size only</t>
  </si>
  <si>
    <t xml:space="preserve">both</t>
  </si>
  <si>
    <t xml:space="preserve">Scenario: random - steps</t>
  </si>
  <si>
    <t xml:space="preserve">scaleV</t>
  </si>
  <si>
    <t xml:space="preserve">weight=3194 connected=true</t>
  </si>
  <si>
    <t xml:space="preserve">components=2 largest=249</t>
  </si>
  <si>
    <t xml:space="preserve">isDag=false ordered=1/250</t>
  </si>
  <si>
    <t xml:space="preserve">reachable=249 relaxations=374 heapOps=750</t>
  </si>
  <si>
    <t xml:space="preserve">weight=6474 connected=true</t>
  </si>
  <si>
    <t xml:space="preserve">components=5 largest=496</t>
  </si>
  <si>
    <t xml:space="preserve">isDag=false ordered=3/500</t>
  </si>
  <si>
    <t xml:space="preserve">reachable=497 relaxations=712 heapOps=1426</t>
  </si>
  <si>
    <t xml:space="preserve">weight=25355 connected=true</t>
  </si>
  <si>
    <t xml:space="preserve">components=29 largest=1972</t>
  </si>
  <si>
    <t xml:space="preserve">isDag=false ordered=9/2000</t>
  </si>
  <si>
    <t xml:space="preserve">reachable=1991 relaxations=2817 heapOps=5636</t>
  </si>
  <si>
    <t xml:space="preserve">weight=62241 connected=true</t>
  </si>
  <si>
    <t xml:space="preserve">components=66 largest=4935</t>
  </si>
  <si>
    <t xml:space="preserve">isDag=false ordered=32/5000</t>
  </si>
  <si>
    <t xml:space="preserve">reachable=4968 relaxations=7217 heapOps=14436</t>
  </si>
  <si>
    <t xml:space="preserve">weight=125459 connected=true</t>
  </si>
  <si>
    <t xml:space="preserve">components=142 largest=9859</t>
  </si>
  <si>
    <t xml:space="preserve">isDag=false ordered=74/10000</t>
  </si>
  <si>
    <t xml:space="preserve">reachable=9926 relaxations=14322 heapOps=28646</t>
  </si>
  <si>
    <t xml:space="preserve">scaleE</t>
  </si>
  <si>
    <t xml:space="preserve">weight=30499 connected=true</t>
  </si>
  <si>
    <t xml:space="preserve">components=372 largest=629</t>
  </si>
  <si>
    <t xml:space="preserve">isDag=false ordered=207/1000</t>
  </si>
  <si>
    <t xml:space="preserve">reachable=793 relaxations=834 heapOps=1670</t>
  </si>
  <si>
    <t xml:space="preserve">weight=6593 connected=true</t>
  </si>
  <si>
    <t xml:space="preserve">components=1 largest=1000</t>
  </si>
  <si>
    <t xml:space="preserve">isDag=false ordered=0/1000</t>
  </si>
  <si>
    <t xml:space="preserve">reachable=1000 relaxations=1940 heapOps=3882</t>
  </si>
  <si>
    <t xml:space="preserve">weight=3462 connected=true</t>
  </si>
  <si>
    <t xml:space="preserve">reachable=1000 relaxations=2471 heapOps=4944</t>
  </si>
  <si>
    <t xml:space="preserve">weight=1746 connected=true</t>
  </si>
  <si>
    <t xml:space="preserve">reachable=1000 relaxations=3286 heapOps=6574</t>
  </si>
  <si>
    <t xml:space="preserve">weight=1205 connected=true</t>
  </si>
  <si>
    <t xml:space="preserve">reachable=1000 relaxations=3815 heapOps=7632</t>
  </si>
  <si>
    <t xml:space="preserve">scenario</t>
  </si>
  <si>
    <t xml:space="preserve">variant</t>
  </si>
  <si>
    <t xml:space="preserve">steps</t>
  </si>
  <si>
    <t xml:space="preserve">chain</t>
  </si>
  <si>
    <t xml:space="preserve">random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</si>
</sst>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883D"/>
      <rgbColor rgb="FF800080"/>
      <rgbColor rgb="FF008080"/>
      <rgbColor rgb="FFBBCE9E"/>
      <rgbColor rgb="FF878787"/>
      <rgbColor rgb="FF91B051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DCBD"/>
      <rgbColor rgb="FFFFFF99"/>
      <rgbColor rgb="FFB3C992"/>
      <rgbColor rgb="FFFF99CC"/>
      <rgbColor rgb="FFCC99FF"/>
      <rgbColor rgb="FFA5C073"/>
      <rgbColor rgb="FF4F81BD"/>
      <rgbColor rgb="FF4BACC6"/>
      <rgbColor rgb="FF9BBB59"/>
      <rgbColor rgb="FFFFCC00"/>
      <rgbColor rgb="FFF79646"/>
      <rgbColor rgb="FFFF6600"/>
      <rgbColor rgb="FF8064A2"/>
      <rgbColor rgb="FF87A44B"/>
      <rgbColor rgb="FF003366"/>
      <rgbColor rgb="FF829E48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Execution time by graph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'Required sizes'!B25</c:f>
              <c:strCache>
                <c:ptCount val="1"/>
                <c:pt idx="0">
                  <c:v>Kruskal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'Required sizes'!$A$26:$A$28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'Required sizes'!$B$26:$B$28</c:f>
              <c:numCache>
                <c:formatCode>#,##0.00</c:formatCode>
                <c:ptCount val="3"/>
                <c:pt idx="0">
                  <c:v>1.74</c:v>
                </c:pt>
                <c:pt idx="1">
                  <c:v>35.13</c:v>
                </c:pt>
                <c:pt idx="2">
                  <c:v>610.99</c:v>
                </c:pt>
              </c:numCache>
            </c:numRef>
          </c:val>
        </c:ser>
        <c:ser>
          <c:idx val="1"/>
          <c:order val="1"/>
          <c:tx>
            <c:strRef>
              <c:f>'Required sizes'!C25</c:f>
              <c:strCache>
                <c:ptCount val="1"/>
                <c:pt idx="0">
                  <c:v>Prim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'Required sizes'!$A$26:$A$28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'Required sizes'!$C$26:$C$28</c:f>
              <c:numCache>
                <c:formatCode>#,##0.00</c:formatCode>
                <c:ptCount val="3"/>
                <c:pt idx="0">
                  <c:v>0.58</c:v>
                </c:pt>
                <c:pt idx="1">
                  <c:v>11.74</c:v>
                </c:pt>
                <c:pt idx="2">
                  <c:v>881.97</c:v>
                </c:pt>
              </c:numCache>
            </c:numRef>
          </c:val>
        </c:ser>
        <c:ser>
          <c:idx val="2"/>
          <c:order val="2"/>
          <c:tx>
            <c:strRef>
              <c:f>'Required sizes'!D25</c:f>
              <c:strCache>
                <c:ptCount val="1"/>
                <c:pt idx="0">
                  <c:v>SCC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'Required sizes'!$A$26:$A$28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'Required sizes'!$D$26:$D$28</c:f>
              <c:numCache>
                <c:formatCode>#,##0.00</c:formatCode>
                <c:ptCount val="3"/>
                <c:pt idx="0">
                  <c:v>0.25</c:v>
                </c:pt>
                <c:pt idx="1">
                  <c:v>3.45</c:v>
                </c:pt>
                <c:pt idx="2">
                  <c:v>100.32</c:v>
                </c:pt>
              </c:numCache>
            </c:numRef>
          </c:val>
        </c:ser>
        <c:ser>
          <c:idx val="3"/>
          <c:order val="3"/>
          <c:tx>
            <c:strRef>
              <c:f>'Required sizes'!E25</c:f>
              <c:strCache>
                <c:ptCount val="1"/>
                <c:pt idx="0">
                  <c:v>Topo-DAG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'Required sizes'!$A$26:$A$28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'Required sizes'!$E$26:$E$28</c:f>
              <c:numCache>
                <c:formatCode>#,##0.00</c:formatCode>
                <c:ptCount val="3"/>
                <c:pt idx="0">
                  <c:v>0.18</c:v>
                </c:pt>
                <c:pt idx="1">
                  <c:v>2.03</c:v>
                </c:pt>
                <c:pt idx="2">
                  <c:v>66.36</c:v>
                </c:pt>
              </c:numCache>
            </c:numRef>
          </c:val>
        </c:ser>
        <c:ser>
          <c:idx val="4"/>
          <c:order val="4"/>
          <c:tx>
            <c:strRef>
              <c:f>'Required sizes'!F25</c:f>
              <c:strCache>
                <c:ptCount val="1"/>
                <c:pt idx="0">
                  <c:v>Topo-cyclic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'Required sizes'!$A$26:$A$28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'Required sizes'!$F$26:$F$28</c:f>
              <c:numCache>
                <c:formatCode>#,##0.00</c:formatCode>
                <c:ptCount val="3"/>
                <c:pt idx="0">
                  <c:v>0.06</c:v>
                </c:pt>
                <c:pt idx="1">
                  <c:v>0.33</c:v>
                </c:pt>
                <c:pt idx="2">
                  <c:v>9.37</c:v>
                </c:pt>
              </c:numCache>
            </c:numRef>
          </c:val>
        </c:ser>
        <c:ser>
          <c:idx val="5"/>
          <c:order val="5"/>
          <c:tx>
            <c:strRef>
              <c:f>'Required sizes'!G25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'Required sizes'!$A$26:$A$28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'Required sizes'!$G$26:$G$28</c:f>
              <c:numCache>
                <c:formatCode>#,##0.00</c:formatCode>
                <c:ptCount val="3"/>
                <c:pt idx="0">
                  <c:v>0.28</c:v>
                </c:pt>
                <c:pt idx="1">
                  <c:v>5.69</c:v>
                </c:pt>
                <c:pt idx="2">
                  <c:v>305.3</c:v>
                </c:pt>
              </c:numCache>
            </c:numRef>
          </c:val>
        </c:ser>
        <c:gapWidth val="150"/>
        <c:overlap val="0"/>
        <c:axId val="365953"/>
        <c:axId val="6399015"/>
      </c:barChart>
      <c:catAx>
        <c:axId val="3659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9015"/>
        <c:crosses val="autoZero"/>
        <c:auto val="1"/>
        <c:lblAlgn val="ctr"/>
        <c:lblOffset val="100"/>
        <c:noMultiLvlLbl val="0"/>
      </c:catAx>
      <c:valAx>
        <c:axId val="639901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µs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Execution time vs Number of vertices (V) (all algorithms, log 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'Time vs Vertices'!C5</c:f>
              <c:strCache>
                <c:ptCount val="1"/>
                <c:pt idx="0">
                  <c:v>Kruskal</c:v>
                </c:pt>
              </c:strCache>
            </c:strRef>
          </c:tx>
          <c:spPr>
            <a:solidFill>
              <a:srgbClr val="70883d"/>
            </a:solidFill>
            <a:ln w="47520">
              <a:solidFill>
                <a:srgbClr val="70883d"/>
              </a:solidFill>
              <a:round/>
            </a:ln>
          </c:spPr>
          <c:marker>
            <c:symbol val="circle"/>
            <c:size val="5"/>
            <c:spPr>
              <a:solidFill>
                <a:srgbClr val="7088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Vertices'!$A$6:$A$12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Vertices'!$C$6:$C$12</c:f>
              <c:numCache>
                <c:formatCode>#,##0.00</c:formatCode>
                <c:ptCount val="7"/>
                <c:pt idx="0">
                  <c:v>40.27</c:v>
                </c:pt>
                <c:pt idx="1">
                  <c:v>132.19</c:v>
                </c:pt>
                <c:pt idx="2">
                  <c:v>310.05</c:v>
                </c:pt>
                <c:pt idx="3">
                  <c:v>750.69</c:v>
                </c:pt>
                <c:pt idx="4">
                  <c:v>1536.73</c:v>
                </c:pt>
                <c:pt idx="5">
                  <c:v>4390.84</c:v>
                </c:pt>
                <c:pt idx="6">
                  <c:v>8617.34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'Time vs Vertices'!D5</c:f>
              <c:strCache>
                <c:ptCount val="1"/>
                <c:pt idx="0">
                  <c:v>Prim</c:v>
                </c:pt>
              </c:strCache>
            </c:strRef>
          </c:tx>
          <c:spPr>
            <a:solidFill>
              <a:srgbClr val="829e48"/>
            </a:solidFill>
            <a:ln w="47520">
              <a:solidFill>
                <a:srgbClr val="829e48"/>
              </a:solidFill>
              <a:round/>
            </a:ln>
          </c:spPr>
          <c:marker>
            <c:symbol val="circle"/>
            <c:size val="5"/>
            <c:spPr>
              <a:solidFill>
                <a:srgbClr val="829e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Vertices'!$A$6:$A$12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Vertices'!$D$6:$D$12</c:f>
              <c:numCache>
                <c:formatCode>#,##0.00</c:formatCode>
                <c:ptCount val="7"/>
                <c:pt idx="0">
                  <c:v>20.99</c:v>
                </c:pt>
                <c:pt idx="1">
                  <c:v>123.17</c:v>
                </c:pt>
                <c:pt idx="2">
                  <c:v>292.08</c:v>
                </c:pt>
                <c:pt idx="3">
                  <c:v>906</c:v>
                </c:pt>
                <c:pt idx="4">
                  <c:v>2396.27</c:v>
                </c:pt>
                <c:pt idx="5">
                  <c:v>7522.33</c:v>
                </c:pt>
                <c:pt idx="6">
                  <c:v>14520.68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'Time vs Vertices'!E5</c:f>
              <c:strCache>
                <c:ptCount val="1"/>
                <c:pt idx="0">
                  <c:v>SCC</c:v>
                </c:pt>
              </c:strCache>
            </c:strRef>
          </c:tx>
          <c:spPr>
            <a:solidFill>
              <a:srgbClr val="91b051"/>
            </a:solidFill>
            <a:ln w="47520">
              <a:solidFill>
                <a:srgbClr val="91b051"/>
              </a:solidFill>
              <a:round/>
            </a:ln>
          </c:spPr>
          <c:marker>
            <c:symbol val="circle"/>
            <c:size val="5"/>
            <c:spPr>
              <a:solidFill>
                <a:srgbClr val="91b0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Vertices'!$A$6:$A$12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Vertices'!$E$6:$E$12</c:f>
              <c:numCache>
                <c:formatCode>#,##0.00</c:formatCode>
                <c:ptCount val="7"/>
                <c:pt idx="0">
                  <c:v>5.43</c:v>
                </c:pt>
                <c:pt idx="1">
                  <c:v>12.49</c:v>
                </c:pt>
                <c:pt idx="2">
                  <c:v>33.77</c:v>
                </c:pt>
                <c:pt idx="3">
                  <c:v>61.81</c:v>
                </c:pt>
                <c:pt idx="4">
                  <c:v>203.05</c:v>
                </c:pt>
                <c:pt idx="5">
                  <c:v>571.08</c:v>
                </c:pt>
                <c:pt idx="6">
                  <c:v>1207.88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'Time vs Vertices'!F5</c:f>
              <c:strCache>
                <c:ptCount val="1"/>
                <c:pt idx="0">
                  <c:v>Topo-DAG</c:v>
                </c:pt>
              </c:strCache>
            </c:strRef>
          </c:tx>
          <c:spPr>
            <a:solidFill>
              <a:srgbClr val="a5c073"/>
            </a:solidFill>
            <a:ln w="47520">
              <a:solidFill>
                <a:srgbClr val="a5c073"/>
              </a:solidFill>
              <a:round/>
            </a:ln>
          </c:spPr>
          <c:marker>
            <c:symbol val="circle"/>
            <c:size val="5"/>
            <c:spPr>
              <a:solidFill>
                <a:srgbClr val="a5c07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Vertices'!$A$6:$A$12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Vertices'!$F$6:$F$12</c:f>
              <c:numCache>
                <c:formatCode>#,##0.00</c:formatCode>
                <c:ptCount val="7"/>
                <c:pt idx="0">
                  <c:v>3.15</c:v>
                </c:pt>
                <c:pt idx="1">
                  <c:v>13.51</c:v>
                </c:pt>
                <c:pt idx="2">
                  <c:v>18.15</c:v>
                </c:pt>
                <c:pt idx="3">
                  <c:v>53.57</c:v>
                </c:pt>
                <c:pt idx="4">
                  <c:v>118.56</c:v>
                </c:pt>
                <c:pt idx="5">
                  <c:v>373.66</c:v>
                </c:pt>
                <c:pt idx="6">
                  <c:v>839.34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'Time vs Vertices'!G5</c:f>
              <c:strCache>
                <c:ptCount val="1"/>
                <c:pt idx="0">
                  <c:v>Topo-cyclic</c:v>
                </c:pt>
              </c:strCache>
            </c:strRef>
          </c:tx>
          <c:spPr>
            <a:solidFill>
              <a:srgbClr val="bbce9e"/>
            </a:solidFill>
            <a:ln w="47520">
              <a:solidFill>
                <a:srgbClr val="bbce9e"/>
              </a:solidFill>
              <a:round/>
            </a:ln>
          </c:spPr>
          <c:marker>
            <c:symbol val="circle"/>
            <c:size val="5"/>
            <c:spPr>
              <a:solidFill>
                <a:srgbClr val="bbce9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Vertices'!$A$6:$A$12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Vertices'!$G$6:$G$12</c:f>
              <c:numCache>
                <c:formatCode>#,##0.00</c:formatCode>
                <c:ptCount val="7"/>
                <c:pt idx="0">
                  <c:v>0.66</c:v>
                </c:pt>
                <c:pt idx="1">
                  <c:v>1.75</c:v>
                </c:pt>
                <c:pt idx="2">
                  <c:v>3.36</c:v>
                </c:pt>
                <c:pt idx="3">
                  <c:v>5.42</c:v>
                </c:pt>
                <c:pt idx="4">
                  <c:v>19.19</c:v>
                </c:pt>
                <c:pt idx="5">
                  <c:v>60.8</c:v>
                </c:pt>
                <c:pt idx="6">
                  <c:v>72.29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'Time vs Vertices'!H5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cfdcbd"/>
            </a:solidFill>
            <a:ln w="47520">
              <a:solidFill>
                <a:srgbClr val="cfdcbd"/>
              </a:solidFill>
              <a:round/>
            </a:ln>
          </c:spPr>
          <c:marker>
            <c:symbol val="circle"/>
            <c:size val="5"/>
            <c:spPr>
              <a:solidFill>
                <a:srgbClr val="cfdc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Vertices'!$A$6:$A$12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Vertices'!$H$6:$H$12</c:f>
              <c:numCache>
                <c:formatCode>#,##0.00</c:formatCode>
                <c:ptCount val="7"/>
                <c:pt idx="0">
                  <c:v>13.96</c:v>
                </c:pt>
                <c:pt idx="1">
                  <c:v>38.91</c:v>
                </c:pt>
                <c:pt idx="2">
                  <c:v>116.66</c:v>
                </c:pt>
                <c:pt idx="3">
                  <c:v>298.4</c:v>
                </c:pt>
                <c:pt idx="4">
                  <c:v>548.02</c:v>
                </c:pt>
                <c:pt idx="5">
                  <c:v>1668.41</c:v>
                </c:pt>
                <c:pt idx="6">
                  <c:v>4639.99</c:v>
                </c:pt>
              </c:numCache>
            </c:numRef>
          </c:yVal>
          <c:smooth val="0"/>
        </c:ser>
        <c:axId val="13013297"/>
        <c:axId val="23405537"/>
      </c:scatterChart>
      <c:valAx>
        <c:axId val="130132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vertices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05537"/>
        <c:crosses val="autoZero"/>
        <c:crossBetween val="midCat"/>
      </c:valAx>
      <c:valAx>
        <c:axId val="2340553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Time, µs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132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Kruskal vs Prim: time vs Number of vertices (V)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'Time vs Vertices'!C5</c:f>
              <c:strCache>
                <c:ptCount val="1"/>
                <c:pt idx="0">
                  <c:v>Kruskal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Vertices'!$A$6:$A$12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Vertices'!$C$6:$C$12</c:f>
              <c:numCache>
                <c:formatCode>#,##0.00</c:formatCode>
                <c:ptCount val="7"/>
                <c:pt idx="0">
                  <c:v>40.27</c:v>
                </c:pt>
                <c:pt idx="1">
                  <c:v>132.19</c:v>
                </c:pt>
                <c:pt idx="2">
                  <c:v>310.05</c:v>
                </c:pt>
                <c:pt idx="3">
                  <c:v>750.69</c:v>
                </c:pt>
                <c:pt idx="4">
                  <c:v>1536.73</c:v>
                </c:pt>
                <c:pt idx="5">
                  <c:v>4390.84</c:v>
                </c:pt>
                <c:pt idx="6">
                  <c:v>8617.34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'Time vs Vertices'!D5</c:f>
              <c:strCache>
                <c:ptCount val="1"/>
                <c:pt idx="0">
                  <c:v>Prim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Vertices'!$A$6:$A$12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Vertices'!$D$6:$D$12</c:f>
              <c:numCache>
                <c:formatCode>#,##0.00</c:formatCode>
                <c:ptCount val="7"/>
                <c:pt idx="0">
                  <c:v>20.99</c:v>
                </c:pt>
                <c:pt idx="1">
                  <c:v>123.17</c:v>
                </c:pt>
                <c:pt idx="2">
                  <c:v>292.08</c:v>
                </c:pt>
                <c:pt idx="3">
                  <c:v>906</c:v>
                </c:pt>
                <c:pt idx="4">
                  <c:v>2396.27</c:v>
                </c:pt>
                <c:pt idx="5">
                  <c:v>7522.33</c:v>
                </c:pt>
                <c:pt idx="6">
                  <c:v>14520.68</c:v>
                </c:pt>
              </c:numCache>
            </c:numRef>
          </c:yVal>
          <c:smooth val="0"/>
        </c:ser>
        <c:axId val="49102350"/>
        <c:axId val="65883027"/>
      </c:scatterChart>
      <c:valAx>
        <c:axId val="491023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vertices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83027"/>
        <c:crosses val="autoZero"/>
        <c:crossBetween val="midCat"/>
      </c:valAx>
      <c:valAx>
        <c:axId val="65883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Time, µs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023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Kruskal vs Prim: comparisons vs Number of vertices (V)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'Time vs Vertices'!C16</c:f>
              <c:strCache>
                <c:ptCount val="1"/>
                <c:pt idx="0">
                  <c:v>Kruskal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Vertices'!$A$17:$A$23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Vertices'!$C$17:$C$23</c:f>
              <c:numCache>
                <c:formatCode>#,##0</c:formatCode>
                <c:ptCount val="7"/>
                <c:pt idx="0">
                  <c:v>3827</c:v>
                </c:pt>
                <c:pt idx="1">
                  <c:v>11261</c:v>
                </c:pt>
                <c:pt idx="2">
                  <c:v>24208</c:v>
                </c:pt>
                <c:pt idx="3">
                  <c:v>50369</c:v>
                </c:pt>
                <c:pt idx="4">
                  <c:v>103223</c:v>
                </c:pt>
                <c:pt idx="5">
                  <c:v>262527</c:v>
                </c:pt>
                <c:pt idx="6">
                  <c:v>527352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'Time vs Vertices'!D16</c:f>
              <c:strCache>
                <c:ptCount val="1"/>
                <c:pt idx="0">
                  <c:v>Prim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Vertices'!$A$17:$A$23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'Time vs Vertices'!$D$17:$D$23</c:f>
              <c:numCache>
                <c:formatCode>#,##0</c:formatCode>
                <c:ptCount val="7"/>
                <c:pt idx="0">
                  <c:v>3742</c:v>
                </c:pt>
                <c:pt idx="1">
                  <c:v>14733</c:v>
                </c:pt>
                <c:pt idx="2">
                  <c:v>32475</c:v>
                </c:pt>
                <c:pt idx="3">
                  <c:v>85148</c:v>
                </c:pt>
                <c:pt idx="4">
                  <c:v>238873</c:v>
                </c:pt>
                <c:pt idx="5">
                  <c:v>634740</c:v>
                </c:pt>
                <c:pt idx="6">
                  <c:v>1347123</c:v>
                </c:pt>
              </c:numCache>
            </c:numRef>
          </c:yVal>
          <c:smooth val="0"/>
        </c:ser>
        <c:axId val="17595992"/>
        <c:axId val="59595809"/>
      </c:scatterChart>
      <c:valAx>
        <c:axId val="175959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vertices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95809"/>
        <c:crosses val="autoZero"/>
        <c:crossBetween val="midCat"/>
      </c:valAx>
      <c:valAx>
        <c:axId val="59595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Comparisons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959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Execution time vs Number of edges (E) (all algorithms, log 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'Time vs Edges'!C5</c:f>
              <c:strCache>
                <c:ptCount val="1"/>
                <c:pt idx="0">
                  <c:v>Kruskal</c:v>
                </c:pt>
              </c:strCache>
            </c:strRef>
          </c:tx>
          <c:spPr>
            <a:solidFill>
              <a:srgbClr val="70883d"/>
            </a:solidFill>
            <a:ln w="47520">
              <a:solidFill>
                <a:srgbClr val="70883d"/>
              </a:solidFill>
              <a:round/>
            </a:ln>
          </c:spPr>
          <c:marker>
            <c:symbol val="circle"/>
            <c:size val="5"/>
            <c:spPr>
              <a:solidFill>
                <a:srgbClr val="7088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Edges'!$B$6:$B$11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Edges'!$C$6:$C$11</c:f>
              <c:numCache>
                <c:formatCode>#,##0.00</c:formatCode>
                <c:ptCount val="6"/>
                <c:pt idx="0">
                  <c:v>300.98</c:v>
                </c:pt>
                <c:pt idx="1">
                  <c:v>731.29</c:v>
                </c:pt>
                <c:pt idx="2">
                  <c:v>1598.33</c:v>
                </c:pt>
                <c:pt idx="3">
                  <c:v>3100.88</c:v>
                </c:pt>
                <c:pt idx="4">
                  <c:v>7787.08</c:v>
                </c:pt>
                <c:pt idx="5">
                  <c:v>14804.88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'Time vs Edges'!D5</c:f>
              <c:strCache>
                <c:ptCount val="1"/>
                <c:pt idx="0">
                  <c:v>Prim</c:v>
                </c:pt>
              </c:strCache>
            </c:strRef>
          </c:tx>
          <c:spPr>
            <a:solidFill>
              <a:srgbClr val="829e48"/>
            </a:solidFill>
            <a:ln w="47520">
              <a:solidFill>
                <a:srgbClr val="829e48"/>
              </a:solidFill>
              <a:round/>
            </a:ln>
          </c:spPr>
          <c:marker>
            <c:symbol val="circle"/>
            <c:size val="5"/>
            <c:spPr>
              <a:solidFill>
                <a:srgbClr val="829e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Edges'!$B$6:$B$11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Edges'!$D$6:$D$11</c:f>
              <c:numCache>
                <c:formatCode>#,##0.00</c:formatCode>
                <c:ptCount val="6"/>
                <c:pt idx="0">
                  <c:v>314.65</c:v>
                </c:pt>
                <c:pt idx="1">
                  <c:v>922.77</c:v>
                </c:pt>
                <c:pt idx="2">
                  <c:v>1474.67</c:v>
                </c:pt>
                <c:pt idx="3">
                  <c:v>1595.72</c:v>
                </c:pt>
                <c:pt idx="4">
                  <c:v>3093.02</c:v>
                </c:pt>
                <c:pt idx="5">
                  <c:v>7243.12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'Time vs Edges'!E5</c:f>
              <c:strCache>
                <c:ptCount val="1"/>
                <c:pt idx="0">
                  <c:v>SCC</c:v>
                </c:pt>
              </c:strCache>
            </c:strRef>
          </c:tx>
          <c:spPr>
            <a:solidFill>
              <a:srgbClr val="91b051"/>
            </a:solidFill>
            <a:ln w="47520">
              <a:solidFill>
                <a:srgbClr val="91b051"/>
              </a:solidFill>
              <a:round/>
            </a:ln>
          </c:spPr>
          <c:marker>
            <c:symbol val="circle"/>
            <c:size val="5"/>
            <c:spPr>
              <a:solidFill>
                <a:srgbClr val="91b0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Edges'!$B$6:$B$11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Edges'!$E$6:$E$11</c:f>
              <c:numCache>
                <c:formatCode>#,##0.00</c:formatCode>
                <c:ptCount val="6"/>
                <c:pt idx="0">
                  <c:v>45.9</c:v>
                </c:pt>
                <c:pt idx="1">
                  <c:v>70.4</c:v>
                </c:pt>
                <c:pt idx="2">
                  <c:v>110.93</c:v>
                </c:pt>
                <c:pt idx="3">
                  <c:v>136.67</c:v>
                </c:pt>
                <c:pt idx="4">
                  <c:v>392.88</c:v>
                </c:pt>
                <c:pt idx="5">
                  <c:v>513.01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'Time vs Edges'!F5</c:f>
              <c:strCache>
                <c:ptCount val="1"/>
                <c:pt idx="0">
                  <c:v>Topo-DAG</c:v>
                </c:pt>
              </c:strCache>
            </c:strRef>
          </c:tx>
          <c:spPr>
            <a:solidFill>
              <a:srgbClr val="a5c073"/>
            </a:solidFill>
            <a:ln w="47520">
              <a:solidFill>
                <a:srgbClr val="a5c073"/>
              </a:solidFill>
              <a:round/>
            </a:ln>
          </c:spPr>
          <c:marker>
            <c:symbol val="circle"/>
            <c:size val="5"/>
            <c:spPr>
              <a:solidFill>
                <a:srgbClr val="a5c07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Edges'!$B$6:$B$11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Edges'!$F$6:$F$11</c:f>
              <c:numCache>
                <c:formatCode>#,##0.00</c:formatCode>
                <c:ptCount val="6"/>
                <c:pt idx="0">
                  <c:v>30.47</c:v>
                </c:pt>
                <c:pt idx="1">
                  <c:v>62.21</c:v>
                </c:pt>
                <c:pt idx="2">
                  <c:v>89.14</c:v>
                </c:pt>
                <c:pt idx="3">
                  <c:v>131.97</c:v>
                </c:pt>
                <c:pt idx="4">
                  <c:v>440.54</c:v>
                </c:pt>
                <c:pt idx="5">
                  <c:v>482.58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'Time vs Edges'!G5</c:f>
              <c:strCache>
                <c:ptCount val="1"/>
                <c:pt idx="0">
                  <c:v>Topo-cyclic</c:v>
                </c:pt>
              </c:strCache>
            </c:strRef>
          </c:tx>
          <c:spPr>
            <a:solidFill>
              <a:srgbClr val="bbce9e"/>
            </a:solidFill>
            <a:ln w="47520">
              <a:solidFill>
                <a:srgbClr val="bbce9e"/>
              </a:solidFill>
              <a:round/>
            </a:ln>
          </c:spPr>
          <c:marker>
            <c:symbol val="circle"/>
            <c:size val="5"/>
            <c:spPr>
              <a:solidFill>
                <a:srgbClr val="bbce9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Edges'!$B$6:$B$11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Edges'!$G$6:$G$11</c:f>
              <c:numCache>
                <c:formatCode>#,##0.00</c:formatCode>
                <c:ptCount val="6"/>
                <c:pt idx="0">
                  <c:v>7.34</c:v>
                </c:pt>
                <c:pt idx="1">
                  <c:v>8.17</c:v>
                </c:pt>
                <c:pt idx="2">
                  <c:v>12.2</c:v>
                </c:pt>
                <c:pt idx="3">
                  <c:v>32.19</c:v>
                </c:pt>
                <c:pt idx="4">
                  <c:v>85.61</c:v>
                </c:pt>
                <c:pt idx="5">
                  <c:v>142.09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'Time vs Edges'!H5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cfdcbd"/>
            </a:solidFill>
            <a:ln w="47520">
              <a:solidFill>
                <a:srgbClr val="cfdcbd"/>
              </a:solidFill>
              <a:round/>
            </a:ln>
          </c:spPr>
          <c:marker>
            <c:symbol val="circle"/>
            <c:size val="5"/>
            <c:spPr>
              <a:solidFill>
                <a:srgbClr val="cfdc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Edges'!$B$6:$B$11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Edges'!$H$6:$H$11</c:f>
              <c:numCache>
                <c:formatCode>#,##0.00</c:formatCode>
                <c:ptCount val="6"/>
                <c:pt idx="0">
                  <c:v>78.57</c:v>
                </c:pt>
                <c:pt idx="1">
                  <c:v>174.88</c:v>
                </c:pt>
                <c:pt idx="2">
                  <c:v>425.43</c:v>
                </c:pt>
                <c:pt idx="3">
                  <c:v>590.02</c:v>
                </c:pt>
                <c:pt idx="4">
                  <c:v>1088.11</c:v>
                </c:pt>
                <c:pt idx="5">
                  <c:v>1527.73</c:v>
                </c:pt>
              </c:numCache>
            </c:numRef>
          </c:yVal>
          <c:smooth val="0"/>
        </c:ser>
        <c:axId val="9537337"/>
        <c:axId val="46898407"/>
      </c:scatterChart>
      <c:valAx>
        <c:axId val="95373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edges (E)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98407"/>
        <c:crosses val="autoZero"/>
        <c:crossBetween val="midCat"/>
      </c:valAx>
      <c:valAx>
        <c:axId val="4689840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Time, µs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733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Kruskal vs Prim: time vs Number of edges (E)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'Time vs Edges'!C5</c:f>
              <c:strCache>
                <c:ptCount val="1"/>
                <c:pt idx="0">
                  <c:v>Kruskal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Edges'!$B$6:$B$11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Edges'!$C$6:$C$11</c:f>
              <c:numCache>
                <c:formatCode>#,##0.00</c:formatCode>
                <c:ptCount val="6"/>
                <c:pt idx="0">
                  <c:v>300.98</c:v>
                </c:pt>
                <c:pt idx="1">
                  <c:v>731.29</c:v>
                </c:pt>
                <c:pt idx="2">
                  <c:v>1598.33</c:v>
                </c:pt>
                <c:pt idx="3">
                  <c:v>3100.88</c:v>
                </c:pt>
                <c:pt idx="4">
                  <c:v>7787.08</c:v>
                </c:pt>
                <c:pt idx="5">
                  <c:v>14804.88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'Time vs Edges'!D5</c:f>
              <c:strCache>
                <c:ptCount val="1"/>
                <c:pt idx="0">
                  <c:v>Prim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Edges'!$B$6:$B$11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Edges'!$D$6:$D$11</c:f>
              <c:numCache>
                <c:formatCode>#,##0.00</c:formatCode>
                <c:ptCount val="6"/>
                <c:pt idx="0">
                  <c:v>314.65</c:v>
                </c:pt>
                <c:pt idx="1">
                  <c:v>922.77</c:v>
                </c:pt>
                <c:pt idx="2">
                  <c:v>1474.67</c:v>
                </c:pt>
                <c:pt idx="3">
                  <c:v>1595.72</c:v>
                </c:pt>
                <c:pt idx="4">
                  <c:v>3093.02</c:v>
                </c:pt>
                <c:pt idx="5">
                  <c:v>7243.12</c:v>
                </c:pt>
              </c:numCache>
            </c:numRef>
          </c:yVal>
          <c:smooth val="0"/>
        </c:ser>
        <c:axId val="31918153"/>
        <c:axId val="33906854"/>
      </c:scatterChart>
      <c:valAx>
        <c:axId val="319181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edges (E)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06854"/>
        <c:crosses val="autoZero"/>
        <c:crossBetween val="midCat"/>
      </c:valAx>
      <c:valAx>
        <c:axId val="33906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Time, µs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181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Kruskal vs Prim: comparisons vs Number of edges (E)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'Time vs Edges'!C15</c:f>
              <c:strCache>
                <c:ptCount val="1"/>
                <c:pt idx="0">
                  <c:v>Kruskal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Edges'!$B$16:$B$21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Edges'!$C$16:$C$21</c:f>
              <c:numCache>
                <c:formatCode>#,##0</c:formatCode>
                <c:ptCount val="6"/>
                <c:pt idx="0">
                  <c:v>18823</c:v>
                </c:pt>
                <c:pt idx="1">
                  <c:v>50369</c:v>
                </c:pt>
                <c:pt idx="2">
                  <c:v>103055</c:v>
                </c:pt>
                <c:pt idx="3">
                  <c:v>209098</c:v>
                </c:pt>
                <c:pt idx="4">
                  <c:v>527830</c:v>
                </c:pt>
                <c:pt idx="5">
                  <c:v>1058747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'Time vs Edges'!D15</c:f>
              <c:strCache>
                <c:ptCount val="1"/>
                <c:pt idx="0">
                  <c:v>Prim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'Time vs Edges'!$B$16:$B$21</c:f>
              <c:numCache>
                <c:formatCode>General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'Time vs Edges'!$D$16:$D$21</c:f>
              <c:numCache>
                <c:formatCode>#,##0</c:formatCode>
                <c:ptCount val="6"/>
                <c:pt idx="0">
                  <c:v>39489</c:v>
                </c:pt>
                <c:pt idx="1">
                  <c:v>85148</c:v>
                </c:pt>
                <c:pt idx="2">
                  <c:v>121849</c:v>
                </c:pt>
                <c:pt idx="3">
                  <c:v>138188</c:v>
                </c:pt>
                <c:pt idx="4">
                  <c:v>228040</c:v>
                </c:pt>
                <c:pt idx="5">
                  <c:v>341455</c:v>
                </c:pt>
              </c:numCache>
            </c:numRef>
          </c:yVal>
          <c:smooth val="0"/>
        </c:ser>
        <c:axId val="8906673"/>
        <c:axId val="29543064"/>
      </c:scatterChart>
      <c:valAx>
        <c:axId val="89066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edges (E)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43064"/>
        <c:crosses val="autoZero"/>
        <c:crossBetween val="midCat"/>
      </c:valAx>
      <c:valAx>
        <c:axId val="295430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Comparisons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667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DSU steps (chain), log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DSU!B4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DSU!$A$5:$A$7</c:f>
              <c:strCach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strCache>
            </c:strRef>
          </c:cat>
          <c:val>
            <c:numRef>
              <c:f>DSU!$B$5:$B$7</c:f>
              <c:numCache>
                <c:formatCode>#,##0</c:formatCode>
                <c:ptCount val="3"/>
                <c:pt idx="0">
                  <c:v>4950</c:v>
                </c:pt>
                <c:pt idx="1">
                  <c:v>499500</c:v>
                </c:pt>
                <c:pt idx="2">
                  <c:v>49995000</c:v>
                </c:pt>
              </c:numCache>
            </c:numRef>
          </c:val>
        </c:ser>
        <c:ser>
          <c:idx val="1"/>
          <c:order val="1"/>
          <c:tx>
            <c:strRef>
              <c:f>DSU!C4</c:f>
              <c:strCache>
                <c:ptCount val="1"/>
                <c:pt idx="0">
                  <c:v>compression only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DSU!$A$5:$A$7</c:f>
              <c:strCach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strCache>
            </c:strRef>
          </c:cat>
          <c:val>
            <c:numRef>
              <c:f>DSU!$C$5:$C$7</c:f>
              <c:numCache>
                <c:formatCode>#,##0</c:formatCode>
                <c:ptCount val="3"/>
                <c:pt idx="0">
                  <c:v>197</c:v>
                </c:pt>
                <c:pt idx="1">
                  <c:v>1997</c:v>
                </c:pt>
                <c:pt idx="2">
                  <c:v>19997</c:v>
                </c:pt>
              </c:numCache>
            </c:numRef>
          </c:val>
        </c:ser>
        <c:ser>
          <c:idx val="2"/>
          <c:order val="2"/>
          <c:tx>
            <c:strRef>
              <c:f>DSU!D4</c:f>
              <c:strCache>
                <c:ptCount val="1"/>
                <c:pt idx="0">
                  <c:v>union by size only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DSU!$A$5:$A$7</c:f>
              <c:strCach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strCache>
            </c:strRef>
          </c:cat>
          <c:val>
            <c:numRef>
              <c:f>DSU!$D$5:$D$7</c:f>
              <c:numCache>
                <c:formatCode>#,##0</c:formatCode>
                <c:ptCount val="3"/>
                <c:pt idx="0">
                  <c:v>196</c:v>
                </c:pt>
                <c:pt idx="1">
                  <c:v>1996</c:v>
                </c:pt>
                <c:pt idx="2">
                  <c:v>19996</c:v>
                </c:pt>
              </c:numCache>
            </c:numRef>
          </c:val>
        </c:ser>
        <c:ser>
          <c:idx val="3"/>
          <c:order val="3"/>
          <c:tx>
            <c:strRef>
              <c:f>DSU!E4</c:f>
              <c:strCache>
                <c:ptCount val="1"/>
                <c:pt idx="0">
                  <c:v>both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DSU!$A$5:$A$7</c:f>
              <c:strCach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strCache>
            </c:strRef>
          </c:cat>
          <c:val>
            <c:numRef>
              <c:f>DSU!$E$5:$E$7</c:f>
              <c:numCache>
                <c:formatCode>#,##0</c:formatCode>
                <c:ptCount val="3"/>
                <c:pt idx="0">
                  <c:v>196</c:v>
                </c:pt>
                <c:pt idx="1">
                  <c:v>1996</c:v>
                </c:pt>
                <c:pt idx="2">
                  <c:v>19996</c:v>
                </c:pt>
              </c:numCache>
            </c:numRef>
          </c:val>
        </c:ser>
        <c:gapWidth val="150"/>
        <c:overlap val="0"/>
        <c:axId val="21164056"/>
        <c:axId val="20108857"/>
      </c:barChart>
      <c:catAx>
        <c:axId val="2116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08857"/>
        <c:crosses val="autoZero"/>
        <c:auto val="1"/>
        <c:lblAlgn val="ctr"/>
        <c:lblOffset val="100"/>
        <c:noMultiLvlLbl val="0"/>
      </c:catAx>
      <c:valAx>
        <c:axId val="2010885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64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DSU steps (random), log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DSU!B23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DSU!$A$24:$A$26</c:f>
              <c:strCach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strCache>
            </c:strRef>
          </c:cat>
          <c:val>
            <c:numRef>
              <c:f>DSU!$B$24:$B$26</c:f>
              <c:numCache>
                <c:formatCode>#,##0</c:formatCode>
                <c:ptCount val="3"/>
                <c:pt idx="0">
                  <c:v>15472</c:v>
                </c:pt>
                <c:pt idx="1">
                  <c:v>1127741</c:v>
                </c:pt>
                <c:pt idx="2">
                  <c:v>107555300</c:v>
                </c:pt>
              </c:numCache>
            </c:numRef>
          </c:val>
        </c:ser>
        <c:ser>
          <c:idx val="1"/>
          <c:order val="1"/>
          <c:tx>
            <c:strRef>
              <c:f>DSU!C23</c:f>
              <c:strCache>
                <c:ptCount val="1"/>
                <c:pt idx="0">
                  <c:v>compression only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DSU!$A$24:$A$26</c:f>
              <c:strCach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strCache>
            </c:strRef>
          </c:cat>
          <c:val>
            <c:numRef>
              <c:f>DSU!$C$24:$C$26</c:f>
              <c:numCache>
                <c:formatCode>#,##0</c:formatCode>
                <c:ptCount val="3"/>
                <c:pt idx="0">
                  <c:v>1577</c:v>
                </c:pt>
                <c:pt idx="1">
                  <c:v>17330</c:v>
                </c:pt>
                <c:pt idx="2">
                  <c:v>220715</c:v>
                </c:pt>
              </c:numCache>
            </c:numRef>
          </c:val>
        </c:ser>
        <c:ser>
          <c:idx val="2"/>
          <c:order val="2"/>
          <c:tx>
            <c:strRef>
              <c:f>DSU!D23</c:f>
              <c:strCache>
                <c:ptCount val="1"/>
                <c:pt idx="0">
                  <c:v>union by size only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DSU!$A$24:$A$26</c:f>
              <c:strCach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strCache>
            </c:strRef>
          </c:cat>
          <c:val>
            <c:numRef>
              <c:f>DSU!$D$24:$D$26</c:f>
              <c:numCache>
                <c:formatCode>#,##0</c:formatCode>
                <c:ptCount val="3"/>
                <c:pt idx="0">
                  <c:v>1631</c:v>
                </c:pt>
                <c:pt idx="1">
                  <c:v>17923</c:v>
                </c:pt>
                <c:pt idx="2">
                  <c:v>192266</c:v>
                </c:pt>
              </c:numCache>
            </c:numRef>
          </c:val>
        </c:ser>
        <c:ser>
          <c:idx val="3"/>
          <c:order val="3"/>
          <c:tx>
            <c:strRef>
              <c:f>DSU!E23</c:f>
              <c:strCache>
                <c:ptCount val="1"/>
                <c:pt idx="0">
                  <c:v>both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DSU!$A$24:$A$26</c:f>
              <c:strCache>
                <c:ptCount val="3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</c:strCache>
            </c:strRef>
          </c:cat>
          <c:val>
            <c:numRef>
              <c:f>DSU!$E$24:$E$26</c:f>
              <c:numCache>
                <c:formatCode>#,##0</c:formatCode>
                <c:ptCount val="3"/>
                <c:pt idx="0">
                  <c:v>1019</c:v>
                </c:pt>
                <c:pt idx="1">
                  <c:v>10443</c:v>
                </c:pt>
                <c:pt idx="2">
                  <c:v>105021</c:v>
                </c:pt>
              </c:numCache>
            </c:numRef>
          </c:val>
        </c:ser>
        <c:gapWidth val="150"/>
        <c:overlap val="0"/>
        <c:axId val="48866920"/>
        <c:axId val="58068780"/>
      </c:barChart>
      <c:catAx>
        <c:axId val="4886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68780"/>
        <c:crosses val="autoZero"/>
        <c:auto val="1"/>
        <c:lblAlgn val="ctr"/>
        <c:lblOffset val="100"/>
        <c:noMultiLvlLbl val="0"/>
      </c:catAx>
      <c:valAx>
        <c:axId val="5806878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66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10080</xdr:rowOff>
    </xdr:from>
    <xdr:to>
      <xdr:col>5</xdr:col>
      <xdr:colOff>840960</xdr:colOff>
      <xdr:row>46</xdr:row>
      <xdr:rowOff>11160</xdr:rowOff>
    </xdr:to>
    <xdr:graphicFrame>
      <xdr:nvGraphicFramePr>
        <xdr:cNvPr id="0" name="Chart 1"/>
        <xdr:cNvGraphicFramePr/>
      </xdr:nvGraphicFramePr>
      <xdr:xfrm>
        <a:off x="0" y="5715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21</xdr:col>
      <xdr:colOff>4680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1001088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160920</xdr:rowOff>
    </xdr:from>
    <xdr:to>
      <xdr:col>21</xdr:col>
      <xdr:colOff>4680</xdr:colOff>
      <xdr:row>37</xdr:row>
      <xdr:rowOff>162000</xdr:rowOff>
    </xdr:to>
    <xdr:graphicFrame>
      <xdr:nvGraphicFramePr>
        <xdr:cNvPr id="2" name="Chart 2"/>
        <xdr:cNvGraphicFramePr/>
      </xdr:nvGraphicFramePr>
      <xdr:xfrm>
        <a:off x="10010880" y="4000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39</xdr:row>
      <xdr:rowOff>160920</xdr:rowOff>
    </xdr:from>
    <xdr:to>
      <xdr:col>21</xdr:col>
      <xdr:colOff>4680</xdr:colOff>
      <xdr:row>56</xdr:row>
      <xdr:rowOff>162000</xdr:rowOff>
    </xdr:to>
    <xdr:graphicFrame>
      <xdr:nvGraphicFramePr>
        <xdr:cNvPr id="3" name="Chart 3"/>
        <xdr:cNvGraphicFramePr/>
      </xdr:nvGraphicFramePr>
      <xdr:xfrm>
        <a:off x="10010880" y="7620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21</xdr:col>
      <xdr:colOff>4680</xdr:colOff>
      <xdr:row>18</xdr:row>
      <xdr:rowOff>161640</xdr:rowOff>
    </xdr:to>
    <xdr:graphicFrame>
      <xdr:nvGraphicFramePr>
        <xdr:cNvPr id="4" name="Chart 1"/>
        <xdr:cNvGraphicFramePr/>
      </xdr:nvGraphicFramePr>
      <xdr:xfrm>
        <a:off x="1001088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160920</xdr:rowOff>
    </xdr:from>
    <xdr:to>
      <xdr:col>21</xdr:col>
      <xdr:colOff>4680</xdr:colOff>
      <xdr:row>37</xdr:row>
      <xdr:rowOff>162000</xdr:rowOff>
    </xdr:to>
    <xdr:graphicFrame>
      <xdr:nvGraphicFramePr>
        <xdr:cNvPr id="5" name="Chart 2"/>
        <xdr:cNvGraphicFramePr/>
      </xdr:nvGraphicFramePr>
      <xdr:xfrm>
        <a:off x="10010880" y="4000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39</xdr:row>
      <xdr:rowOff>160920</xdr:rowOff>
    </xdr:from>
    <xdr:to>
      <xdr:col>21</xdr:col>
      <xdr:colOff>4680</xdr:colOff>
      <xdr:row>56</xdr:row>
      <xdr:rowOff>162000</xdr:rowOff>
    </xdr:to>
    <xdr:graphicFrame>
      <xdr:nvGraphicFramePr>
        <xdr:cNvPr id="6" name="Chart 3"/>
        <xdr:cNvGraphicFramePr/>
      </xdr:nvGraphicFramePr>
      <xdr:xfrm>
        <a:off x="10010880" y="7620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255960</xdr:colOff>
      <xdr:row>16</xdr:row>
      <xdr:rowOff>32040</xdr:rowOff>
    </xdr:to>
    <xdr:graphicFrame>
      <xdr:nvGraphicFramePr>
        <xdr:cNvPr id="7" name="Chart 1"/>
        <xdr:cNvGraphicFramePr/>
      </xdr:nvGraphicFramePr>
      <xdr:xfrm>
        <a:off x="657972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10440</xdr:rowOff>
    </xdr:from>
    <xdr:to>
      <xdr:col>16</xdr:col>
      <xdr:colOff>255960</xdr:colOff>
      <xdr:row>34</xdr:row>
      <xdr:rowOff>72360</xdr:rowOff>
    </xdr:to>
    <xdr:graphicFrame>
      <xdr:nvGraphicFramePr>
        <xdr:cNvPr id="8" name="Chart 2"/>
        <xdr:cNvGraphicFramePr/>
      </xdr:nvGraphicFramePr>
      <xdr:xfrm>
        <a:off x="657972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3" t="n">
        <v>10</v>
      </c>
      <c r="C4" s="3" t="n">
        <v>30</v>
      </c>
      <c r="D4" s="3" t="s">
        <v>11</v>
      </c>
      <c r="E4" s="4" t="n">
        <v>1.74</v>
      </c>
      <c r="F4" s="3" t="n">
        <v>14</v>
      </c>
      <c r="G4" s="3" t="n">
        <v>107</v>
      </c>
      <c r="H4" s="3" t="n">
        <v>42</v>
      </c>
      <c r="I4" s="3" t="s">
        <v>12</v>
      </c>
    </row>
    <row r="5" customFormat="false" ht="15" hidden="false" customHeight="false" outlineLevel="0" collapsed="false">
      <c r="A5" s="3" t="s">
        <v>10</v>
      </c>
      <c r="B5" s="3" t="n">
        <v>10</v>
      </c>
      <c r="C5" s="3" t="n">
        <v>30</v>
      </c>
      <c r="D5" s="3" t="s">
        <v>13</v>
      </c>
      <c r="E5" s="4" t="n">
        <v>0.58</v>
      </c>
      <c r="F5" s="3" t="n">
        <v>56</v>
      </c>
      <c r="G5" s="3" t="n">
        <v>144</v>
      </c>
      <c r="H5" s="3" t="n">
        <v>0</v>
      </c>
      <c r="I5" s="3" t="s">
        <v>12</v>
      </c>
    </row>
    <row r="6" customFormat="false" ht="15" hidden="false" customHeight="false" outlineLevel="0" collapsed="false">
      <c r="A6" s="3" t="s">
        <v>10</v>
      </c>
      <c r="B6" s="3" t="n">
        <v>10</v>
      </c>
      <c r="C6" s="3" t="n">
        <v>30</v>
      </c>
      <c r="D6" s="3" t="s">
        <v>14</v>
      </c>
      <c r="E6" s="4" t="n">
        <v>0.25</v>
      </c>
      <c r="F6" s="3" t="n">
        <v>30</v>
      </c>
      <c r="G6" s="3" t="n">
        <v>0</v>
      </c>
      <c r="H6" s="3" t="n">
        <v>0</v>
      </c>
      <c r="I6" s="3" t="s">
        <v>15</v>
      </c>
    </row>
    <row r="7" customFormat="false" ht="15" hidden="false" customHeight="false" outlineLevel="0" collapsed="false">
      <c r="A7" s="3" t="s">
        <v>10</v>
      </c>
      <c r="B7" s="3" t="n">
        <v>10</v>
      </c>
      <c r="C7" s="3" t="n">
        <v>30</v>
      </c>
      <c r="D7" s="3" t="s">
        <v>16</v>
      </c>
      <c r="E7" s="4" t="n">
        <v>0.18</v>
      </c>
      <c r="F7" s="3" t="n">
        <v>60</v>
      </c>
      <c r="G7" s="3" t="n">
        <v>0</v>
      </c>
      <c r="H7" s="3" t="n">
        <v>0</v>
      </c>
      <c r="I7" s="3" t="s">
        <v>17</v>
      </c>
    </row>
    <row r="8" customFormat="false" ht="15" hidden="false" customHeight="false" outlineLevel="0" collapsed="false">
      <c r="A8" s="3" t="s">
        <v>10</v>
      </c>
      <c r="B8" s="3" t="n">
        <v>10</v>
      </c>
      <c r="C8" s="3" t="n">
        <v>30</v>
      </c>
      <c r="D8" s="3" t="s">
        <v>18</v>
      </c>
      <c r="E8" s="4" t="n">
        <v>0.06</v>
      </c>
      <c r="F8" s="3" t="n">
        <v>35</v>
      </c>
      <c r="G8" s="3" t="n">
        <v>0</v>
      </c>
      <c r="H8" s="3" t="n">
        <v>0</v>
      </c>
      <c r="I8" s="3" t="s">
        <v>19</v>
      </c>
    </row>
    <row r="9" customFormat="false" ht="15" hidden="false" customHeight="false" outlineLevel="0" collapsed="false">
      <c r="A9" s="3" t="s">
        <v>10</v>
      </c>
      <c r="B9" s="3" t="n">
        <v>10</v>
      </c>
      <c r="C9" s="3" t="n">
        <v>30</v>
      </c>
      <c r="D9" s="3" t="s">
        <v>20</v>
      </c>
      <c r="E9" s="4" t="n">
        <v>0.28</v>
      </c>
      <c r="F9" s="3" t="n">
        <v>25</v>
      </c>
      <c r="G9" s="3" t="n">
        <v>18</v>
      </c>
      <c r="H9" s="3" t="n">
        <v>0</v>
      </c>
      <c r="I9" s="3" t="s">
        <v>21</v>
      </c>
    </row>
    <row r="10" customFormat="false" ht="15" hidden="false" customHeight="false" outlineLevel="0" collapsed="false">
      <c r="A10" s="3" t="s">
        <v>22</v>
      </c>
      <c r="B10" s="3" t="n">
        <v>100</v>
      </c>
      <c r="C10" s="3" t="n">
        <v>500</v>
      </c>
      <c r="D10" s="3" t="s">
        <v>11</v>
      </c>
      <c r="E10" s="4" t="n">
        <v>35.13</v>
      </c>
      <c r="F10" s="3" t="n">
        <v>164</v>
      </c>
      <c r="G10" s="3" t="n">
        <v>3827</v>
      </c>
      <c r="H10" s="3" t="n">
        <v>492</v>
      </c>
      <c r="I10" s="3" t="s">
        <v>23</v>
      </c>
    </row>
    <row r="11" customFormat="false" ht="15" hidden="false" customHeight="false" outlineLevel="0" collapsed="false">
      <c r="A11" s="3" t="s">
        <v>22</v>
      </c>
      <c r="B11" s="3" t="n">
        <v>100</v>
      </c>
      <c r="C11" s="3" t="n">
        <v>500</v>
      </c>
      <c r="D11" s="3" t="s">
        <v>13</v>
      </c>
      <c r="E11" s="4" t="n">
        <v>11.74</v>
      </c>
      <c r="F11" s="3" t="n">
        <v>993</v>
      </c>
      <c r="G11" s="3" t="n">
        <v>3742</v>
      </c>
      <c r="H11" s="3" t="n">
        <v>0</v>
      </c>
      <c r="I11" s="3" t="s">
        <v>23</v>
      </c>
    </row>
    <row r="12" customFormat="false" ht="15" hidden="false" customHeight="false" outlineLevel="0" collapsed="false">
      <c r="A12" s="3" t="s">
        <v>22</v>
      </c>
      <c r="B12" s="3" t="n">
        <v>100</v>
      </c>
      <c r="C12" s="3" t="n">
        <v>500</v>
      </c>
      <c r="D12" s="3" t="s">
        <v>14</v>
      </c>
      <c r="E12" s="4" t="n">
        <v>3.45</v>
      </c>
      <c r="F12" s="3" t="n">
        <v>500</v>
      </c>
      <c r="G12" s="3" t="n">
        <v>0</v>
      </c>
      <c r="H12" s="3" t="n">
        <v>0</v>
      </c>
      <c r="I12" s="3" t="s">
        <v>24</v>
      </c>
    </row>
    <row r="13" customFormat="false" ht="15" hidden="false" customHeight="false" outlineLevel="0" collapsed="false">
      <c r="A13" s="3" t="s">
        <v>22</v>
      </c>
      <c r="B13" s="3" t="n">
        <v>100</v>
      </c>
      <c r="C13" s="3" t="n">
        <v>500</v>
      </c>
      <c r="D13" s="3" t="s">
        <v>16</v>
      </c>
      <c r="E13" s="4" t="n">
        <v>2.03</v>
      </c>
      <c r="F13" s="3" t="n">
        <v>1000</v>
      </c>
      <c r="G13" s="3" t="n">
        <v>0</v>
      </c>
      <c r="H13" s="3" t="n">
        <v>0</v>
      </c>
      <c r="I13" s="3" t="s">
        <v>17</v>
      </c>
    </row>
    <row r="14" customFormat="false" ht="15" hidden="false" customHeight="false" outlineLevel="0" collapsed="false">
      <c r="A14" s="3" t="s">
        <v>22</v>
      </c>
      <c r="B14" s="3" t="n">
        <v>100</v>
      </c>
      <c r="C14" s="3" t="n">
        <v>500</v>
      </c>
      <c r="D14" s="3" t="s">
        <v>18</v>
      </c>
      <c r="E14" s="4" t="n">
        <v>0.33</v>
      </c>
      <c r="F14" s="3" t="n">
        <v>515</v>
      </c>
      <c r="G14" s="3" t="n">
        <v>0</v>
      </c>
      <c r="H14" s="3" t="n">
        <v>0</v>
      </c>
      <c r="I14" s="3" t="s">
        <v>25</v>
      </c>
    </row>
    <row r="15" customFormat="false" ht="15" hidden="false" customHeight="false" outlineLevel="0" collapsed="false">
      <c r="A15" s="3" t="s">
        <v>22</v>
      </c>
      <c r="B15" s="3" t="n">
        <v>100</v>
      </c>
      <c r="C15" s="3" t="n">
        <v>500</v>
      </c>
      <c r="D15" s="3" t="s">
        <v>20</v>
      </c>
      <c r="E15" s="4" t="n">
        <v>5.69</v>
      </c>
      <c r="F15" s="3" t="n">
        <v>485</v>
      </c>
      <c r="G15" s="3" t="n">
        <v>1439</v>
      </c>
      <c r="H15" s="3" t="n">
        <v>0</v>
      </c>
      <c r="I15" s="3" t="s">
        <v>26</v>
      </c>
    </row>
    <row r="16" customFormat="false" ht="15" hidden="false" customHeight="false" outlineLevel="0" collapsed="false">
      <c r="A16" s="3" t="s">
        <v>27</v>
      </c>
      <c r="B16" s="3" t="n">
        <v>1000</v>
      </c>
      <c r="C16" s="3" t="n">
        <v>5000</v>
      </c>
      <c r="D16" s="3" t="s">
        <v>11</v>
      </c>
      <c r="E16" s="4" t="n">
        <v>610.99</v>
      </c>
      <c r="F16" s="3" t="n">
        <v>3356</v>
      </c>
      <c r="G16" s="3" t="n">
        <v>50369</v>
      </c>
      <c r="H16" s="3" t="n">
        <v>10068</v>
      </c>
      <c r="I16" s="3" t="s">
        <v>28</v>
      </c>
    </row>
    <row r="17" customFormat="false" ht="15" hidden="false" customHeight="false" outlineLevel="0" collapsed="false">
      <c r="A17" s="3" t="s">
        <v>27</v>
      </c>
      <c r="B17" s="3" t="n">
        <v>1000</v>
      </c>
      <c r="C17" s="3" t="n">
        <v>5000</v>
      </c>
      <c r="D17" s="3" t="s">
        <v>13</v>
      </c>
      <c r="E17" s="4" t="n">
        <v>881.97</v>
      </c>
      <c r="F17" s="3" t="n">
        <v>9997</v>
      </c>
      <c r="G17" s="3" t="n">
        <v>85148</v>
      </c>
      <c r="H17" s="3" t="n">
        <v>0</v>
      </c>
      <c r="I17" s="3" t="s">
        <v>28</v>
      </c>
    </row>
    <row r="18" customFormat="false" ht="15" hidden="false" customHeight="false" outlineLevel="0" collapsed="false">
      <c r="A18" s="3" t="s">
        <v>27</v>
      </c>
      <c r="B18" s="3" t="n">
        <v>1000</v>
      </c>
      <c r="C18" s="3" t="n">
        <v>5000</v>
      </c>
      <c r="D18" s="3" t="s">
        <v>14</v>
      </c>
      <c r="E18" s="4" t="n">
        <v>100.32</v>
      </c>
      <c r="F18" s="3" t="n">
        <v>5000</v>
      </c>
      <c r="G18" s="3" t="n">
        <v>0</v>
      </c>
      <c r="H18" s="3" t="n">
        <v>0</v>
      </c>
      <c r="I18" s="3" t="s">
        <v>29</v>
      </c>
    </row>
    <row r="19" customFormat="false" ht="15" hidden="false" customHeight="false" outlineLevel="0" collapsed="false">
      <c r="A19" s="3" t="s">
        <v>27</v>
      </c>
      <c r="B19" s="3" t="n">
        <v>1000</v>
      </c>
      <c r="C19" s="3" t="n">
        <v>5000</v>
      </c>
      <c r="D19" s="3" t="s">
        <v>16</v>
      </c>
      <c r="E19" s="4" t="n">
        <v>66.36</v>
      </c>
      <c r="F19" s="3" t="n">
        <v>10000</v>
      </c>
      <c r="G19" s="3" t="n">
        <v>0</v>
      </c>
      <c r="H19" s="3" t="n">
        <v>0</v>
      </c>
      <c r="I19" s="3" t="s">
        <v>17</v>
      </c>
    </row>
    <row r="20" customFormat="false" ht="15" hidden="false" customHeight="false" outlineLevel="0" collapsed="false">
      <c r="A20" s="3" t="s">
        <v>27</v>
      </c>
      <c r="B20" s="3" t="n">
        <v>1000</v>
      </c>
      <c r="C20" s="3" t="n">
        <v>5000</v>
      </c>
      <c r="D20" s="3" t="s">
        <v>18</v>
      </c>
      <c r="E20" s="4" t="n">
        <v>9.37</v>
      </c>
      <c r="F20" s="3" t="n">
        <v>5031</v>
      </c>
      <c r="G20" s="3" t="n">
        <v>0</v>
      </c>
      <c r="H20" s="3" t="n">
        <v>0</v>
      </c>
      <c r="I20" s="3" t="s">
        <v>30</v>
      </c>
    </row>
    <row r="21" customFormat="false" ht="15" hidden="false" customHeight="false" outlineLevel="0" collapsed="false">
      <c r="A21" s="3" t="s">
        <v>27</v>
      </c>
      <c r="B21" s="3" t="n">
        <v>1000</v>
      </c>
      <c r="C21" s="3" t="n">
        <v>5000</v>
      </c>
      <c r="D21" s="3" t="s">
        <v>20</v>
      </c>
      <c r="E21" s="4" t="n">
        <v>305.3</v>
      </c>
      <c r="F21" s="3" t="n">
        <v>4969</v>
      </c>
      <c r="G21" s="3" t="n">
        <v>23478</v>
      </c>
      <c r="H21" s="3" t="n">
        <v>0</v>
      </c>
      <c r="I21" s="3" t="s">
        <v>31</v>
      </c>
    </row>
    <row r="24" customFormat="false" ht="15" hidden="false" customHeight="false" outlineLevel="0" collapsed="false">
      <c r="A24" s="5" t="s">
        <v>32</v>
      </c>
    </row>
    <row r="25" customFormat="false" ht="15" hidden="false" customHeight="false" outlineLevel="0" collapsed="false">
      <c r="A25" s="2" t="s">
        <v>33</v>
      </c>
      <c r="B25" s="2" t="s">
        <v>11</v>
      </c>
      <c r="C25" s="2" t="s">
        <v>13</v>
      </c>
      <c r="D25" s="2" t="s">
        <v>14</v>
      </c>
      <c r="E25" s="2" t="s">
        <v>16</v>
      </c>
      <c r="F25" s="2" t="s">
        <v>18</v>
      </c>
      <c r="G25" s="2" t="s">
        <v>20</v>
      </c>
    </row>
    <row r="26" customFormat="false" ht="15" hidden="false" customHeight="false" outlineLevel="0" collapsed="false">
      <c r="A26" s="3" t="s">
        <v>10</v>
      </c>
      <c r="B26" s="4" t="n">
        <f aca="false">SUMIFS($E$4:$E$21,$A$4:$A$21,$A26,$D$4:$D$21,B$25)</f>
        <v>1.74</v>
      </c>
      <c r="C26" s="4" t="n">
        <f aca="false">SUMIFS($E$4:$E$21,$A$4:$A$21,$A26,$D$4:$D$21,C$25)</f>
        <v>0.58</v>
      </c>
      <c r="D26" s="4" t="n">
        <f aca="false">SUMIFS($E$4:$E$21,$A$4:$A$21,$A26,$D$4:$D$21,D$25)</f>
        <v>0.25</v>
      </c>
      <c r="E26" s="4" t="n">
        <f aca="false">SUMIFS($E$4:$E$21,$A$4:$A$21,$A26,$D$4:$D$21,E$25)</f>
        <v>0.18</v>
      </c>
      <c r="F26" s="4" t="n">
        <f aca="false">SUMIFS($E$4:$E$21,$A$4:$A$21,$A26,$D$4:$D$21,F$25)</f>
        <v>0.06</v>
      </c>
      <c r="G26" s="4" t="n">
        <f aca="false">SUMIFS($E$4:$E$21,$A$4:$A$21,$A26,$D$4:$D$21,G$25)</f>
        <v>0.28</v>
      </c>
    </row>
    <row r="27" customFormat="false" ht="15" hidden="false" customHeight="false" outlineLevel="0" collapsed="false">
      <c r="A27" s="3" t="s">
        <v>22</v>
      </c>
      <c r="B27" s="4" t="n">
        <f aca="false">SUMIFS($E$4:$E$21,$A$4:$A$21,$A27,$D$4:$D$21,B$25)</f>
        <v>35.13</v>
      </c>
      <c r="C27" s="4" t="n">
        <f aca="false">SUMIFS($E$4:$E$21,$A$4:$A$21,$A27,$D$4:$D$21,C$25)</f>
        <v>11.74</v>
      </c>
      <c r="D27" s="4" t="n">
        <f aca="false">SUMIFS($E$4:$E$21,$A$4:$A$21,$A27,$D$4:$D$21,D$25)</f>
        <v>3.45</v>
      </c>
      <c r="E27" s="4" t="n">
        <f aca="false">SUMIFS($E$4:$E$21,$A$4:$A$21,$A27,$D$4:$D$21,E$25)</f>
        <v>2.03</v>
      </c>
      <c r="F27" s="4" t="n">
        <f aca="false">SUMIFS($E$4:$E$21,$A$4:$A$21,$A27,$D$4:$D$21,F$25)</f>
        <v>0.33</v>
      </c>
      <c r="G27" s="4" t="n">
        <f aca="false">SUMIFS($E$4:$E$21,$A$4:$A$21,$A27,$D$4:$D$21,G$25)</f>
        <v>5.69</v>
      </c>
    </row>
    <row r="28" customFormat="false" ht="15" hidden="false" customHeight="false" outlineLevel="0" collapsed="false">
      <c r="A28" s="3" t="s">
        <v>27</v>
      </c>
      <c r="B28" s="4" t="n">
        <f aca="false">SUMIFS($E$4:$E$21,$A$4:$A$21,$A28,$D$4:$D$21,B$25)</f>
        <v>610.99</v>
      </c>
      <c r="C28" s="4" t="n">
        <f aca="false">SUMIFS($E$4:$E$21,$A$4:$A$21,$A28,$D$4:$D$21,C$25)</f>
        <v>881.97</v>
      </c>
      <c r="D28" s="4" t="n">
        <f aca="false">SUMIFS($E$4:$E$21,$A$4:$A$21,$A28,$D$4:$D$21,D$25)</f>
        <v>100.32</v>
      </c>
      <c r="E28" s="4" t="n">
        <f aca="false">SUMIFS($E$4:$E$21,$A$4:$A$21,$A28,$D$4:$D$21,E$25)</f>
        <v>66.36</v>
      </c>
      <c r="F28" s="4" t="n">
        <f aca="false">SUMIFS($E$4:$E$21,$A$4:$A$21,$A28,$D$4:$D$21,F$25)</f>
        <v>9.37</v>
      </c>
      <c r="G28" s="4" t="n">
        <f aca="false">SUMIFS($E$4:$E$21,$A$4:$A$21,$A28,$D$4:$D$21,G$25)</f>
        <v>305.3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6" t="s">
        <v>35</v>
      </c>
    </row>
    <row r="4" customFormat="false" ht="15" hidden="false" customHeight="false" outlineLevel="0" collapsed="false">
      <c r="A4" s="5" t="s">
        <v>36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11</v>
      </c>
      <c r="D5" s="2" t="s">
        <v>13</v>
      </c>
      <c r="E5" s="2" t="s">
        <v>14</v>
      </c>
      <c r="F5" s="2" t="s">
        <v>16</v>
      </c>
      <c r="G5" s="2" t="s">
        <v>18</v>
      </c>
      <c r="H5" s="2" t="s">
        <v>20</v>
      </c>
    </row>
    <row r="6" customFormat="false" ht="15" hidden="false" customHeight="false" outlineLevel="0" collapsed="false">
      <c r="A6" s="3" t="n">
        <v>100</v>
      </c>
      <c r="B6" s="3" t="n">
        <f aca="false">INDEX(Raw_ScaleV!$C$2:$C$43,MATCH(A6,Raw_ScaleV!$B$2:$B$43,0))</f>
        <v>500</v>
      </c>
      <c r="C6" s="4" t="n">
        <f aca="false">SUMIFS(Raw_ScaleV!$E$2:$E$43,Raw_ScaleV!$B$2:$B$43,$A6,Raw_ScaleV!$D$2:$D$43,C$5)</f>
        <v>40.27</v>
      </c>
      <c r="D6" s="4" t="n">
        <f aca="false">SUMIFS(Raw_ScaleV!$E$2:$E$43,Raw_ScaleV!$B$2:$B$43,$A6,Raw_ScaleV!$D$2:$D$43,D$5)</f>
        <v>20.99</v>
      </c>
      <c r="E6" s="4" t="n">
        <f aca="false">SUMIFS(Raw_ScaleV!$E$2:$E$43,Raw_ScaleV!$B$2:$B$43,$A6,Raw_ScaleV!$D$2:$D$43,E$5)</f>
        <v>5.43</v>
      </c>
      <c r="F6" s="4" t="n">
        <f aca="false">SUMIFS(Raw_ScaleV!$E$2:$E$43,Raw_ScaleV!$B$2:$B$43,$A6,Raw_ScaleV!$D$2:$D$43,F$5)</f>
        <v>3.15</v>
      </c>
      <c r="G6" s="4" t="n">
        <f aca="false">SUMIFS(Raw_ScaleV!$E$2:$E$43,Raw_ScaleV!$B$2:$B$43,$A6,Raw_ScaleV!$D$2:$D$43,G$5)</f>
        <v>0.66</v>
      </c>
      <c r="H6" s="4" t="n">
        <f aca="false">SUMIFS(Raw_ScaleV!$E$2:$E$43,Raw_ScaleV!$B$2:$B$43,$A6,Raw_ScaleV!$D$2:$D$43,H$5)</f>
        <v>13.96</v>
      </c>
    </row>
    <row r="7" customFormat="false" ht="15" hidden="false" customHeight="false" outlineLevel="0" collapsed="false">
      <c r="A7" s="3" t="n">
        <v>250</v>
      </c>
      <c r="B7" s="3" t="n">
        <f aca="false">INDEX(Raw_ScaleV!$C$2:$C$43,MATCH(A7,Raw_ScaleV!$B$2:$B$43,0))</f>
        <v>1250</v>
      </c>
      <c r="C7" s="4" t="n">
        <f aca="false">SUMIFS(Raw_ScaleV!$E$2:$E$43,Raw_ScaleV!$B$2:$B$43,$A7,Raw_ScaleV!$D$2:$D$43,C$5)</f>
        <v>132.19</v>
      </c>
      <c r="D7" s="4" t="n">
        <f aca="false">SUMIFS(Raw_ScaleV!$E$2:$E$43,Raw_ScaleV!$B$2:$B$43,$A7,Raw_ScaleV!$D$2:$D$43,D$5)</f>
        <v>123.17</v>
      </c>
      <c r="E7" s="4" t="n">
        <f aca="false">SUMIFS(Raw_ScaleV!$E$2:$E$43,Raw_ScaleV!$B$2:$B$43,$A7,Raw_ScaleV!$D$2:$D$43,E$5)</f>
        <v>12.49</v>
      </c>
      <c r="F7" s="4" t="n">
        <f aca="false">SUMIFS(Raw_ScaleV!$E$2:$E$43,Raw_ScaleV!$B$2:$B$43,$A7,Raw_ScaleV!$D$2:$D$43,F$5)</f>
        <v>13.51</v>
      </c>
      <c r="G7" s="4" t="n">
        <f aca="false">SUMIFS(Raw_ScaleV!$E$2:$E$43,Raw_ScaleV!$B$2:$B$43,$A7,Raw_ScaleV!$D$2:$D$43,G$5)</f>
        <v>1.75</v>
      </c>
      <c r="H7" s="4" t="n">
        <f aca="false">SUMIFS(Raw_ScaleV!$E$2:$E$43,Raw_ScaleV!$B$2:$B$43,$A7,Raw_ScaleV!$D$2:$D$43,H$5)</f>
        <v>38.91</v>
      </c>
    </row>
    <row r="8" customFormat="false" ht="15" hidden="false" customHeight="false" outlineLevel="0" collapsed="false">
      <c r="A8" s="3" t="n">
        <v>500</v>
      </c>
      <c r="B8" s="3" t="n">
        <f aca="false">INDEX(Raw_ScaleV!$C$2:$C$43,MATCH(A8,Raw_ScaleV!$B$2:$B$43,0))</f>
        <v>2500</v>
      </c>
      <c r="C8" s="4" t="n">
        <f aca="false">SUMIFS(Raw_ScaleV!$E$2:$E$43,Raw_ScaleV!$B$2:$B$43,$A8,Raw_ScaleV!$D$2:$D$43,C$5)</f>
        <v>310.05</v>
      </c>
      <c r="D8" s="4" t="n">
        <f aca="false">SUMIFS(Raw_ScaleV!$E$2:$E$43,Raw_ScaleV!$B$2:$B$43,$A8,Raw_ScaleV!$D$2:$D$43,D$5)</f>
        <v>292.08</v>
      </c>
      <c r="E8" s="4" t="n">
        <f aca="false">SUMIFS(Raw_ScaleV!$E$2:$E$43,Raw_ScaleV!$B$2:$B$43,$A8,Raw_ScaleV!$D$2:$D$43,E$5)</f>
        <v>33.77</v>
      </c>
      <c r="F8" s="4" t="n">
        <f aca="false">SUMIFS(Raw_ScaleV!$E$2:$E$43,Raw_ScaleV!$B$2:$B$43,$A8,Raw_ScaleV!$D$2:$D$43,F$5)</f>
        <v>18.15</v>
      </c>
      <c r="G8" s="4" t="n">
        <f aca="false">SUMIFS(Raw_ScaleV!$E$2:$E$43,Raw_ScaleV!$B$2:$B$43,$A8,Raw_ScaleV!$D$2:$D$43,G$5)</f>
        <v>3.36</v>
      </c>
      <c r="H8" s="4" t="n">
        <f aca="false">SUMIFS(Raw_ScaleV!$E$2:$E$43,Raw_ScaleV!$B$2:$B$43,$A8,Raw_ScaleV!$D$2:$D$43,H$5)</f>
        <v>116.66</v>
      </c>
    </row>
    <row r="9" customFormat="false" ht="15" hidden="false" customHeight="false" outlineLevel="0" collapsed="false">
      <c r="A9" s="3" t="n">
        <v>1000</v>
      </c>
      <c r="B9" s="3" t="n">
        <f aca="false">INDEX(Raw_ScaleV!$C$2:$C$43,MATCH(A9,Raw_ScaleV!$B$2:$B$43,0))</f>
        <v>5000</v>
      </c>
      <c r="C9" s="4" t="n">
        <f aca="false">SUMIFS(Raw_ScaleV!$E$2:$E$43,Raw_ScaleV!$B$2:$B$43,$A9,Raw_ScaleV!$D$2:$D$43,C$5)</f>
        <v>750.69</v>
      </c>
      <c r="D9" s="4" t="n">
        <f aca="false">SUMIFS(Raw_ScaleV!$E$2:$E$43,Raw_ScaleV!$B$2:$B$43,$A9,Raw_ScaleV!$D$2:$D$43,D$5)</f>
        <v>906</v>
      </c>
      <c r="E9" s="4" t="n">
        <f aca="false">SUMIFS(Raw_ScaleV!$E$2:$E$43,Raw_ScaleV!$B$2:$B$43,$A9,Raw_ScaleV!$D$2:$D$43,E$5)</f>
        <v>61.81</v>
      </c>
      <c r="F9" s="4" t="n">
        <f aca="false">SUMIFS(Raw_ScaleV!$E$2:$E$43,Raw_ScaleV!$B$2:$B$43,$A9,Raw_ScaleV!$D$2:$D$43,F$5)</f>
        <v>53.57</v>
      </c>
      <c r="G9" s="4" t="n">
        <f aca="false">SUMIFS(Raw_ScaleV!$E$2:$E$43,Raw_ScaleV!$B$2:$B$43,$A9,Raw_ScaleV!$D$2:$D$43,G$5)</f>
        <v>5.42</v>
      </c>
      <c r="H9" s="4" t="n">
        <f aca="false">SUMIFS(Raw_ScaleV!$E$2:$E$43,Raw_ScaleV!$B$2:$B$43,$A9,Raw_ScaleV!$D$2:$D$43,H$5)</f>
        <v>298.4</v>
      </c>
    </row>
    <row r="10" customFormat="false" ht="15" hidden="false" customHeight="false" outlineLevel="0" collapsed="false">
      <c r="A10" s="3" t="n">
        <v>2000</v>
      </c>
      <c r="B10" s="3" t="n">
        <f aca="false">INDEX(Raw_ScaleV!$C$2:$C$43,MATCH(A10,Raw_ScaleV!$B$2:$B$43,0))</f>
        <v>10000</v>
      </c>
      <c r="C10" s="4" t="n">
        <f aca="false">SUMIFS(Raw_ScaleV!$E$2:$E$43,Raw_ScaleV!$B$2:$B$43,$A10,Raw_ScaleV!$D$2:$D$43,C$5)</f>
        <v>1536.73</v>
      </c>
      <c r="D10" s="4" t="n">
        <f aca="false">SUMIFS(Raw_ScaleV!$E$2:$E$43,Raw_ScaleV!$B$2:$B$43,$A10,Raw_ScaleV!$D$2:$D$43,D$5)</f>
        <v>2396.27</v>
      </c>
      <c r="E10" s="4" t="n">
        <f aca="false">SUMIFS(Raw_ScaleV!$E$2:$E$43,Raw_ScaleV!$B$2:$B$43,$A10,Raw_ScaleV!$D$2:$D$43,E$5)</f>
        <v>203.05</v>
      </c>
      <c r="F10" s="4" t="n">
        <f aca="false">SUMIFS(Raw_ScaleV!$E$2:$E$43,Raw_ScaleV!$B$2:$B$43,$A10,Raw_ScaleV!$D$2:$D$43,F$5)</f>
        <v>118.56</v>
      </c>
      <c r="G10" s="4" t="n">
        <f aca="false">SUMIFS(Raw_ScaleV!$E$2:$E$43,Raw_ScaleV!$B$2:$B$43,$A10,Raw_ScaleV!$D$2:$D$43,G$5)</f>
        <v>19.19</v>
      </c>
      <c r="H10" s="4" t="n">
        <f aca="false">SUMIFS(Raw_ScaleV!$E$2:$E$43,Raw_ScaleV!$B$2:$B$43,$A10,Raw_ScaleV!$D$2:$D$43,H$5)</f>
        <v>548.02</v>
      </c>
    </row>
    <row r="11" customFormat="false" ht="15" hidden="false" customHeight="false" outlineLevel="0" collapsed="false">
      <c r="A11" s="3" t="n">
        <v>5000</v>
      </c>
      <c r="B11" s="3" t="n">
        <f aca="false">INDEX(Raw_ScaleV!$C$2:$C$43,MATCH(A11,Raw_ScaleV!$B$2:$B$43,0))</f>
        <v>25000</v>
      </c>
      <c r="C11" s="4" t="n">
        <f aca="false">SUMIFS(Raw_ScaleV!$E$2:$E$43,Raw_ScaleV!$B$2:$B$43,$A11,Raw_ScaleV!$D$2:$D$43,C$5)</f>
        <v>4390.84</v>
      </c>
      <c r="D11" s="4" t="n">
        <f aca="false">SUMIFS(Raw_ScaleV!$E$2:$E$43,Raw_ScaleV!$B$2:$B$43,$A11,Raw_ScaleV!$D$2:$D$43,D$5)</f>
        <v>7522.33</v>
      </c>
      <c r="E11" s="4" t="n">
        <f aca="false">SUMIFS(Raw_ScaleV!$E$2:$E$43,Raw_ScaleV!$B$2:$B$43,$A11,Raw_ScaleV!$D$2:$D$43,E$5)</f>
        <v>571.08</v>
      </c>
      <c r="F11" s="4" t="n">
        <f aca="false">SUMIFS(Raw_ScaleV!$E$2:$E$43,Raw_ScaleV!$B$2:$B$43,$A11,Raw_ScaleV!$D$2:$D$43,F$5)</f>
        <v>373.66</v>
      </c>
      <c r="G11" s="4" t="n">
        <f aca="false">SUMIFS(Raw_ScaleV!$E$2:$E$43,Raw_ScaleV!$B$2:$B$43,$A11,Raw_ScaleV!$D$2:$D$43,G$5)</f>
        <v>60.8</v>
      </c>
      <c r="H11" s="4" t="n">
        <f aca="false">SUMIFS(Raw_ScaleV!$E$2:$E$43,Raw_ScaleV!$B$2:$B$43,$A11,Raw_ScaleV!$D$2:$D$43,H$5)</f>
        <v>1668.41</v>
      </c>
    </row>
    <row r="12" customFormat="false" ht="15" hidden="false" customHeight="false" outlineLevel="0" collapsed="false">
      <c r="A12" s="3" t="n">
        <v>10000</v>
      </c>
      <c r="B12" s="3" t="n">
        <f aca="false">INDEX(Raw_ScaleV!$C$2:$C$43,MATCH(A12,Raw_ScaleV!$B$2:$B$43,0))</f>
        <v>50000</v>
      </c>
      <c r="C12" s="4" t="n">
        <f aca="false">SUMIFS(Raw_ScaleV!$E$2:$E$43,Raw_ScaleV!$B$2:$B$43,$A12,Raw_ScaleV!$D$2:$D$43,C$5)</f>
        <v>8617.34</v>
      </c>
      <c r="D12" s="4" t="n">
        <f aca="false">SUMIFS(Raw_ScaleV!$E$2:$E$43,Raw_ScaleV!$B$2:$B$43,$A12,Raw_ScaleV!$D$2:$D$43,D$5)</f>
        <v>14520.68</v>
      </c>
      <c r="E12" s="4" t="n">
        <f aca="false">SUMIFS(Raw_ScaleV!$E$2:$E$43,Raw_ScaleV!$B$2:$B$43,$A12,Raw_ScaleV!$D$2:$D$43,E$5)</f>
        <v>1207.88</v>
      </c>
      <c r="F12" s="4" t="n">
        <f aca="false">SUMIFS(Raw_ScaleV!$E$2:$E$43,Raw_ScaleV!$B$2:$B$43,$A12,Raw_ScaleV!$D$2:$D$43,F$5)</f>
        <v>839.34</v>
      </c>
      <c r="G12" s="4" t="n">
        <f aca="false">SUMIFS(Raw_ScaleV!$E$2:$E$43,Raw_ScaleV!$B$2:$B$43,$A12,Raw_ScaleV!$D$2:$D$43,G$5)</f>
        <v>72.29</v>
      </c>
      <c r="H12" s="4" t="n">
        <f aca="false">SUMIFS(Raw_ScaleV!$E$2:$E$43,Raw_ScaleV!$B$2:$B$43,$A12,Raw_ScaleV!$D$2:$D$43,H$5)</f>
        <v>4639.99</v>
      </c>
    </row>
    <row r="15" customFormat="false" ht="15" hidden="false" customHeight="false" outlineLevel="0" collapsed="false">
      <c r="A15" s="5" t="s">
        <v>37</v>
      </c>
    </row>
    <row r="16" customFormat="false" ht="15" hidden="false" customHeight="false" outlineLevel="0" collapsed="false">
      <c r="A16" s="2" t="s">
        <v>2</v>
      </c>
      <c r="B16" s="2" t="s">
        <v>3</v>
      </c>
      <c r="C16" s="2" t="s">
        <v>11</v>
      </c>
      <c r="D16" s="2" t="s">
        <v>13</v>
      </c>
      <c r="E16" s="2" t="s">
        <v>14</v>
      </c>
      <c r="F16" s="2" t="s">
        <v>16</v>
      </c>
      <c r="G16" s="2" t="s">
        <v>18</v>
      </c>
      <c r="H16" s="2" t="s">
        <v>20</v>
      </c>
    </row>
    <row r="17" customFormat="false" ht="15" hidden="false" customHeight="false" outlineLevel="0" collapsed="false">
      <c r="A17" s="3" t="n">
        <v>100</v>
      </c>
      <c r="B17" s="3" t="n">
        <f aca="false">INDEX(Raw_ScaleV!$C$2:$C$43,MATCH(A17,Raw_ScaleV!$B$2:$B$43,0))</f>
        <v>500</v>
      </c>
      <c r="C17" s="7" t="n">
        <f aca="false">SUMIFS(Raw_ScaleV!$G$2:$G$43,Raw_ScaleV!$B$2:$B$43,$A17,Raw_ScaleV!$D$2:$D$43,C$16)</f>
        <v>3827</v>
      </c>
      <c r="D17" s="7" t="n">
        <f aca="false">SUMIFS(Raw_ScaleV!$G$2:$G$43,Raw_ScaleV!$B$2:$B$43,$A17,Raw_ScaleV!$D$2:$D$43,D$16)</f>
        <v>3742</v>
      </c>
      <c r="E17" s="7" t="n">
        <f aca="false">SUMIFS(Raw_ScaleV!$G$2:$G$43,Raw_ScaleV!$B$2:$B$43,$A17,Raw_ScaleV!$D$2:$D$43,E$16)</f>
        <v>0</v>
      </c>
      <c r="F17" s="7" t="n">
        <f aca="false">SUMIFS(Raw_ScaleV!$G$2:$G$43,Raw_ScaleV!$B$2:$B$43,$A17,Raw_ScaleV!$D$2:$D$43,F$16)</f>
        <v>0</v>
      </c>
      <c r="G17" s="7" t="n">
        <f aca="false">SUMIFS(Raw_ScaleV!$G$2:$G$43,Raw_ScaleV!$B$2:$B$43,$A17,Raw_ScaleV!$D$2:$D$43,G$16)</f>
        <v>0</v>
      </c>
      <c r="H17" s="7" t="n">
        <f aca="false">SUMIFS(Raw_ScaleV!$G$2:$G$43,Raw_ScaleV!$B$2:$B$43,$A17,Raw_ScaleV!$D$2:$D$43,H$16)</f>
        <v>1439</v>
      </c>
    </row>
    <row r="18" customFormat="false" ht="15" hidden="false" customHeight="false" outlineLevel="0" collapsed="false">
      <c r="A18" s="3" t="n">
        <v>250</v>
      </c>
      <c r="B18" s="3" t="n">
        <f aca="false">INDEX(Raw_ScaleV!$C$2:$C$43,MATCH(A18,Raw_ScaleV!$B$2:$B$43,0))</f>
        <v>1250</v>
      </c>
      <c r="C18" s="7" t="n">
        <f aca="false">SUMIFS(Raw_ScaleV!$G$2:$G$43,Raw_ScaleV!$B$2:$B$43,$A18,Raw_ScaleV!$D$2:$D$43,C$16)</f>
        <v>11261</v>
      </c>
      <c r="D18" s="7" t="n">
        <f aca="false">SUMIFS(Raw_ScaleV!$G$2:$G$43,Raw_ScaleV!$B$2:$B$43,$A18,Raw_ScaleV!$D$2:$D$43,D$16)</f>
        <v>14733</v>
      </c>
      <c r="E18" s="7" t="n">
        <f aca="false">SUMIFS(Raw_ScaleV!$G$2:$G$43,Raw_ScaleV!$B$2:$B$43,$A18,Raw_ScaleV!$D$2:$D$43,E$16)</f>
        <v>0</v>
      </c>
      <c r="F18" s="7" t="n">
        <f aca="false">SUMIFS(Raw_ScaleV!$G$2:$G$43,Raw_ScaleV!$B$2:$B$43,$A18,Raw_ScaleV!$D$2:$D$43,F$16)</f>
        <v>0</v>
      </c>
      <c r="G18" s="7" t="n">
        <f aca="false">SUMIFS(Raw_ScaleV!$G$2:$G$43,Raw_ScaleV!$B$2:$B$43,$A18,Raw_ScaleV!$D$2:$D$43,G$16)</f>
        <v>0</v>
      </c>
      <c r="H18" s="7" t="n">
        <f aca="false">SUMIFS(Raw_ScaleV!$G$2:$G$43,Raw_ScaleV!$B$2:$B$43,$A18,Raw_ScaleV!$D$2:$D$43,H$16)</f>
        <v>4927</v>
      </c>
    </row>
    <row r="19" customFormat="false" ht="15" hidden="false" customHeight="false" outlineLevel="0" collapsed="false">
      <c r="A19" s="3" t="n">
        <v>500</v>
      </c>
      <c r="B19" s="3" t="n">
        <f aca="false">INDEX(Raw_ScaleV!$C$2:$C$43,MATCH(A19,Raw_ScaleV!$B$2:$B$43,0))</f>
        <v>2500</v>
      </c>
      <c r="C19" s="7" t="n">
        <f aca="false">SUMIFS(Raw_ScaleV!$G$2:$G$43,Raw_ScaleV!$B$2:$B$43,$A19,Raw_ScaleV!$D$2:$D$43,C$16)</f>
        <v>24208</v>
      </c>
      <c r="D19" s="7" t="n">
        <f aca="false">SUMIFS(Raw_ScaleV!$G$2:$G$43,Raw_ScaleV!$B$2:$B$43,$A19,Raw_ScaleV!$D$2:$D$43,D$16)</f>
        <v>32475</v>
      </c>
      <c r="E19" s="7" t="n">
        <f aca="false">SUMIFS(Raw_ScaleV!$G$2:$G$43,Raw_ScaleV!$B$2:$B$43,$A19,Raw_ScaleV!$D$2:$D$43,E$16)</f>
        <v>0</v>
      </c>
      <c r="F19" s="7" t="n">
        <f aca="false">SUMIFS(Raw_ScaleV!$G$2:$G$43,Raw_ScaleV!$B$2:$B$43,$A19,Raw_ScaleV!$D$2:$D$43,F$16)</f>
        <v>0</v>
      </c>
      <c r="G19" s="7" t="n">
        <f aca="false">SUMIFS(Raw_ScaleV!$G$2:$G$43,Raw_ScaleV!$B$2:$B$43,$A19,Raw_ScaleV!$D$2:$D$43,G$16)</f>
        <v>0</v>
      </c>
      <c r="H19" s="7" t="n">
        <f aca="false">SUMIFS(Raw_ScaleV!$G$2:$G$43,Raw_ScaleV!$B$2:$B$43,$A19,Raw_ScaleV!$D$2:$D$43,H$16)</f>
        <v>10423</v>
      </c>
    </row>
    <row r="20" customFormat="false" ht="15" hidden="false" customHeight="false" outlineLevel="0" collapsed="false">
      <c r="A20" s="3" t="n">
        <v>1000</v>
      </c>
      <c r="B20" s="3" t="n">
        <f aca="false">INDEX(Raw_ScaleV!$C$2:$C$43,MATCH(A20,Raw_ScaleV!$B$2:$B$43,0))</f>
        <v>5000</v>
      </c>
      <c r="C20" s="7" t="n">
        <f aca="false">SUMIFS(Raw_ScaleV!$G$2:$G$43,Raw_ScaleV!$B$2:$B$43,$A20,Raw_ScaleV!$D$2:$D$43,C$16)</f>
        <v>50369</v>
      </c>
      <c r="D20" s="7" t="n">
        <f aca="false">SUMIFS(Raw_ScaleV!$G$2:$G$43,Raw_ScaleV!$B$2:$B$43,$A20,Raw_ScaleV!$D$2:$D$43,D$16)</f>
        <v>85148</v>
      </c>
      <c r="E20" s="7" t="n">
        <f aca="false">SUMIFS(Raw_ScaleV!$G$2:$G$43,Raw_ScaleV!$B$2:$B$43,$A20,Raw_ScaleV!$D$2:$D$43,E$16)</f>
        <v>0</v>
      </c>
      <c r="F20" s="7" t="n">
        <f aca="false">SUMIFS(Raw_ScaleV!$G$2:$G$43,Raw_ScaleV!$B$2:$B$43,$A20,Raw_ScaleV!$D$2:$D$43,F$16)</f>
        <v>0</v>
      </c>
      <c r="G20" s="7" t="n">
        <f aca="false">SUMIFS(Raw_ScaleV!$G$2:$G$43,Raw_ScaleV!$B$2:$B$43,$A20,Raw_ScaleV!$D$2:$D$43,G$16)</f>
        <v>0</v>
      </c>
      <c r="H20" s="7" t="n">
        <f aca="false">SUMIFS(Raw_ScaleV!$G$2:$G$43,Raw_ScaleV!$B$2:$B$43,$A20,Raw_ScaleV!$D$2:$D$43,H$16)</f>
        <v>23478</v>
      </c>
    </row>
    <row r="21" customFormat="false" ht="15" hidden="false" customHeight="false" outlineLevel="0" collapsed="false">
      <c r="A21" s="3" t="n">
        <v>2000</v>
      </c>
      <c r="B21" s="3" t="n">
        <f aca="false">INDEX(Raw_ScaleV!$C$2:$C$43,MATCH(A21,Raw_ScaleV!$B$2:$B$43,0))</f>
        <v>10000</v>
      </c>
      <c r="C21" s="7" t="n">
        <f aca="false">SUMIFS(Raw_ScaleV!$G$2:$G$43,Raw_ScaleV!$B$2:$B$43,$A21,Raw_ScaleV!$D$2:$D$43,C$16)</f>
        <v>103223</v>
      </c>
      <c r="D21" s="7" t="n">
        <f aca="false">SUMIFS(Raw_ScaleV!$G$2:$G$43,Raw_ScaleV!$B$2:$B$43,$A21,Raw_ScaleV!$D$2:$D$43,D$16)</f>
        <v>238873</v>
      </c>
      <c r="E21" s="7" t="n">
        <f aca="false">SUMIFS(Raw_ScaleV!$G$2:$G$43,Raw_ScaleV!$B$2:$B$43,$A21,Raw_ScaleV!$D$2:$D$43,E$16)</f>
        <v>0</v>
      </c>
      <c r="F21" s="7" t="n">
        <f aca="false">SUMIFS(Raw_ScaleV!$G$2:$G$43,Raw_ScaleV!$B$2:$B$43,$A21,Raw_ScaleV!$D$2:$D$43,F$16)</f>
        <v>0</v>
      </c>
      <c r="G21" s="7" t="n">
        <f aca="false">SUMIFS(Raw_ScaleV!$G$2:$G$43,Raw_ScaleV!$B$2:$B$43,$A21,Raw_ScaleV!$D$2:$D$43,G$16)</f>
        <v>0</v>
      </c>
      <c r="H21" s="7" t="n">
        <f aca="false">SUMIFS(Raw_ScaleV!$G$2:$G$43,Raw_ScaleV!$B$2:$B$43,$A21,Raw_ScaleV!$D$2:$D$43,H$16)</f>
        <v>52543</v>
      </c>
    </row>
    <row r="22" customFormat="false" ht="15" hidden="false" customHeight="false" outlineLevel="0" collapsed="false">
      <c r="A22" s="3" t="n">
        <v>5000</v>
      </c>
      <c r="B22" s="3" t="n">
        <f aca="false">INDEX(Raw_ScaleV!$C$2:$C$43,MATCH(A22,Raw_ScaleV!$B$2:$B$43,0))</f>
        <v>25000</v>
      </c>
      <c r="C22" s="7" t="n">
        <f aca="false">SUMIFS(Raw_ScaleV!$G$2:$G$43,Raw_ScaleV!$B$2:$B$43,$A22,Raw_ScaleV!$D$2:$D$43,C$16)</f>
        <v>262527</v>
      </c>
      <c r="D22" s="7" t="n">
        <f aca="false">SUMIFS(Raw_ScaleV!$G$2:$G$43,Raw_ScaleV!$B$2:$B$43,$A22,Raw_ScaleV!$D$2:$D$43,D$16)</f>
        <v>634740</v>
      </c>
      <c r="E22" s="7" t="n">
        <f aca="false">SUMIFS(Raw_ScaleV!$G$2:$G$43,Raw_ScaleV!$B$2:$B$43,$A22,Raw_ScaleV!$D$2:$D$43,E$16)</f>
        <v>0</v>
      </c>
      <c r="F22" s="7" t="n">
        <f aca="false">SUMIFS(Raw_ScaleV!$G$2:$G$43,Raw_ScaleV!$B$2:$B$43,$A22,Raw_ScaleV!$D$2:$D$43,F$16)</f>
        <v>0</v>
      </c>
      <c r="G22" s="7" t="n">
        <f aca="false">SUMIFS(Raw_ScaleV!$G$2:$G$43,Raw_ScaleV!$B$2:$B$43,$A22,Raw_ScaleV!$D$2:$D$43,G$16)</f>
        <v>0</v>
      </c>
      <c r="H22" s="7" t="n">
        <f aca="false">SUMIFS(Raw_ScaleV!$G$2:$G$43,Raw_ScaleV!$B$2:$B$43,$A22,Raw_ScaleV!$D$2:$D$43,H$16)</f>
        <v>153673</v>
      </c>
    </row>
    <row r="23" customFormat="false" ht="15" hidden="false" customHeight="false" outlineLevel="0" collapsed="false">
      <c r="A23" s="3" t="n">
        <v>10000</v>
      </c>
      <c r="B23" s="3" t="n">
        <f aca="false">INDEX(Raw_ScaleV!$C$2:$C$43,MATCH(A23,Raw_ScaleV!$B$2:$B$43,0))</f>
        <v>50000</v>
      </c>
      <c r="C23" s="7" t="n">
        <f aca="false">SUMIFS(Raw_ScaleV!$G$2:$G$43,Raw_ScaleV!$B$2:$B$43,$A23,Raw_ScaleV!$D$2:$D$43,C$16)</f>
        <v>527352</v>
      </c>
      <c r="D23" s="7" t="n">
        <f aca="false">SUMIFS(Raw_ScaleV!$G$2:$G$43,Raw_ScaleV!$B$2:$B$43,$A23,Raw_ScaleV!$D$2:$D$43,D$16)</f>
        <v>1347123</v>
      </c>
      <c r="E23" s="7" t="n">
        <f aca="false">SUMIFS(Raw_ScaleV!$G$2:$G$43,Raw_ScaleV!$B$2:$B$43,$A23,Raw_ScaleV!$D$2:$D$43,E$16)</f>
        <v>0</v>
      </c>
      <c r="F23" s="7" t="n">
        <f aca="false">SUMIFS(Raw_ScaleV!$G$2:$G$43,Raw_ScaleV!$B$2:$B$43,$A23,Raw_ScaleV!$D$2:$D$43,F$16)</f>
        <v>0</v>
      </c>
      <c r="G23" s="7" t="n">
        <f aca="false">SUMIFS(Raw_ScaleV!$G$2:$G$43,Raw_ScaleV!$B$2:$B$43,$A23,Raw_ScaleV!$D$2:$D$43,G$16)</f>
        <v>0</v>
      </c>
      <c r="H23" s="7" t="n">
        <f aca="false">SUMIFS(Raw_ScaleV!$G$2:$G$43,Raw_ScaleV!$B$2:$B$43,$A23,Raw_ScaleV!$D$2:$D$43,H$16)</f>
        <v>333357</v>
      </c>
    </row>
    <row r="26" customFormat="false" ht="15" hidden="false" customHeight="false" outlineLevel="0" collapsed="false">
      <c r="A26" s="5" t="s">
        <v>38</v>
      </c>
    </row>
    <row r="27" customFormat="false" ht="15" hidden="false" customHeight="false" outlineLevel="0" collapsed="false">
      <c r="A27" s="2" t="s">
        <v>2</v>
      </c>
      <c r="B27" s="2" t="s">
        <v>3</v>
      </c>
      <c r="C27" s="2" t="s">
        <v>11</v>
      </c>
      <c r="D27" s="2" t="s">
        <v>13</v>
      </c>
      <c r="E27" s="2" t="s">
        <v>14</v>
      </c>
      <c r="F27" s="2" t="s">
        <v>16</v>
      </c>
      <c r="G27" s="2" t="s">
        <v>18</v>
      </c>
      <c r="H27" s="2" t="s">
        <v>20</v>
      </c>
    </row>
    <row r="28" customFormat="false" ht="15" hidden="false" customHeight="false" outlineLevel="0" collapsed="false">
      <c r="A28" s="3" t="n">
        <v>100</v>
      </c>
      <c r="B28" s="3" t="n">
        <f aca="false">INDEX(Raw_ScaleV!$C$2:$C$43,MATCH(A28,Raw_ScaleV!$B$2:$B$43,0))</f>
        <v>500</v>
      </c>
      <c r="C28" s="7" t="n">
        <f aca="false">SUMIFS(Raw_ScaleV!$F$2:$F$43,Raw_ScaleV!$B$2:$B$43,$A28,Raw_ScaleV!$D$2:$D$43,C$27)</f>
        <v>164</v>
      </c>
      <c r="D28" s="7" t="n">
        <f aca="false">SUMIFS(Raw_ScaleV!$F$2:$F$43,Raw_ScaleV!$B$2:$B$43,$A28,Raw_ScaleV!$D$2:$D$43,D$27)</f>
        <v>993</v>
      </c>
      <c r="E28" s="7" t="n">
        <f aca="false">SUMIFS(Raw_ScaleV!$F$2:$F$43,Raw_ScaleV!$B$2:$B$43,$A28,Raw_ScaleV!$D$2:$D$43,E$27)</f>
        <v>500</v>
      </c>
      <c r="F28" s="7" t="n">
        <f aca="false">SUMIFS(Raw_ScaleV!$F$2:$F$43,Raw_ScaleV!$B$2:$B$43,$A28,Raw_ScaleV!$D$2:$D$43,F$27)</f>
        <v>1000</v>
      </c>
      <c r="G28" s="7" t="n">
        <f aca="false">SUMIFS(Raw_ScaleV!$F$2:$F$43,Raw_ScaleV!$B$2:$B$43,$A28,Raw_ScaleV!$D$2:$D$43,G$27)</f>
        <v>515</v>
      </c>
      <c r="H28" s="7" t="n">
        <f aca="false">SUMIFS(Raw_ScaleV!$F$2:$F$43,Raw_ScaleV!$B$2:$B$43,$A28,Raw_ScaleV!$D$2:$D$43,H$27)</f>
        <v>485</v>
      </c>
    </row>
    <row r="29" customFormat="false" ht="15" hidden="false" customHeight="false" outlineLevel="0" collapsed="false">
      <c r="A29" s="3" t="n">
        <v>250</v>
      </c>
      <c r="B29" s="3" t="n">
        <f aca="false">INDEX(Raw_ScaleV!$C$2:$C$43,MATCH(A29,Raw_ScaleV!$B$2:$B$43,0))</f>
        <v>1250</v>
      </c>
      <c r="C29" s="7" t="n">
        <f aca="false">SUMIFS(Raw_ScaleV!$F$2:$F$43,Raw_ScaleV!$B$2:$B$43,$A29,Raw_ScaleV!$D$2:$D$43,C$27)</f>
        <v>658</v>
      </c>
      <c r="D29" s="7" t="n">
        <f aca="false">SUMIFS(Raw_ScaleV!$F$2:$F$43,Raw_ScaleV!$B$2:$B$43,$A29,Raw_ScaleV!$D$2:$D$43,D$27)</f>
        <v>2495</v>
      </c>
      <c r="E29" s="7" t="n">
        <f aca="false">SUMIFS(Raw_ScaleV!$F$2:$F$43,Raw_ScaleV!$B$2:$B$43,$A29,Raw_ScaleV!$D$2:$D$43,E$27)</f>
        <v>1250</v>
      </c>
      <c r="F29" s="7" t="n">
        <f aca="false">SUMIFS(Raw_ScaleV!$F$2:$F$43,Raw_ScaleV!$B$2:$B$43,$A29,Raw_ScaleV!$D$2:$D$43,F$27)</f>
        <v>2500</v>
      </c>
      <c r="G29" s="7" t="n">
        <f aca="false">SUMIFS(Raw_ScaleV!$F$2:$F$43,Raw_ScaleV!$B$2:$B$43,$A29,Raw_ScaleV!$D$2:$D$43,G$27)</f>
        <v>1254</v>
      </c>
      <c r="H29" s="7" t="n">
        <f aca="false">SUMIFS(Raw_ScaleV!$F$2:$F$43,Raw_ScaleV!$B$2:$B$43,$A29,Raw_ScaleV!$D$2:$D$43,H$27)</f>
        <v>1246</v>
      </c>
    </row>
    <row r="30" customFormat="false" ht="15" hidden="false" customHeight="false" outlineLevel="0" collapsed="false">
      <c r="A30" s="3" t="n">
        <v>500</v>
      </c>
      <c r="B30" s="3" t="n">
        <f aca="false">INDEX(Raw_ScaleV!$C$2:$C$43,MATCH(A30,Raw_ScaleV!$B$2:$B$43,0))</f>
        <v>2500</v>
      </c>
      <c r="C30" s="7" t="n">
        <f aca="false">SUMIFS(Raw_ScaleV!$F$2:$F$43,Raw_ScaleV!$B$2:$B$43,$A30,Raw_ScaleV!$D$2:$D$43,C$27)</f>
        <v>1358</v>
      </c>
      <c r="D30" s="7" t="n">
        <f aca="false">SUMIFS(Raw_ScaleV!$F$2:$F$43,Raw_ScaleV!$B$2:$B$43,$A30,Raw_ScaleV!$D$2:$D$43,D$27)</f>
        <v>4991</v>
      </c>
      <c r="E30" s="7" t="n">
        <f aca="false">SUMIFS(Raw_ScaleV!$F$2:$F$43,Raw_ScaleV!$B$2:$B$43,$A30,Raw_ScaleV!$D$2:$D$43,E$27)</f>
        <v>2500</v>
      </c>
      <c r="F30" s="7" t="n">
        <f aca="false">SUMIFS(Raw_ScaleV!$F$2:$F$43,Raw_ScaleV!$B$2:$B$43,$A30,Raw_ScaleV!$D$2:$D$43,F$27)</f>
        <v>5000</v>
      </c>
      <c r="G30" s="7" t="n">
        <f aca="false">SUMIFS(Raw_ScaleV!$F$2:$F$43,Raw_ScaleV!$B$2:$B$43,$A30,Raw_ScaleV!$D$2:$D$43,G$27)</f>
        <v>2519</v>
      </c>
      <c r="H30" s="7" t="n">
        <f aca="false">SUMIFS(Raw_ScaleV!$F$2:$F$43,Raw_ScaleV!$B$2:$B$43,$A30,Raw_ScaleV!$D$2:$D$43,H$27)</f>
        <v>2481</v>
      </c>
    </row>
    <row r="31" customFormat="false" ht="15" hidden="false" customHeight="false" outlineLevel="0" collapsed="false">
      <c r="A31" s="3" t="n">
        <v>1000</v>
      </c>
      <c r="B31" s="3" t="n">
        <f aca="false">INDEX(Raw_ScaleV!$C$2:$C$43,MATCH(A31,Raw_ScaleV!$B$2:$B$43,0))</f>
        <v>5000</v>
      </c>
      <c r="C31" s="7" t="n">
        <f aca="false">SUMIFS(Raw_ScaleV!$F$2:$F$43,Raw_ScaleV!$B$2:$B$43,$A31,Raw_ScaleV!$D$2:$D$43,C$27)</f>
        <v>3356</v>
      </c>
      <c r="D31" s="7" t="n">
        <f aca="false">SUMIFS(Raw_ScaleV!$F$2:$F$43,Raw_ScaleV!$B$2:$B$43,$A31,Raw_ScaleV!$D$2:$D$43,D$27)</f>
        <v>9997</v>
      </c>
      <c r="E31" s="7" t="n">
        <f aca="false">SUMIFS(Raw_ScaleV!$F$2:$F$43,Raw_ScaleV!$B$2:$B$43,$A31,Raw_ScaleV!$D$2:$D$43,E$27)</f>
        <v>5000</v>
      </c>
      <c r="F31" s="7" t="n">
        <f aca="false">SUMIFS(Raw_ScaleV!$F$2:$F$43,Raw_ScaleV!$B$2:$B$43,$A31,Raw_ScaleV!$D$2:$D$43,F$27)</f>
        <v>10000</v>
      </c>
      <c r="G31" s="7" t="n">
        <f aca="false">SUMIFS(Raw_ScaleV!$F$2:$F$43,Raw_ScaleV!$B$2:$B$43,$A31,Raw_ScaleV!$D$2:$D$43,G$27)</f>
        <v>5031</v>
      </c>
      <c r="H31" s="7" t="n">
        <f aca="false">SUMIFS(Raw_ScaleV!$F$2:$F$43,Raw_ScaleV!$B$2:$B$43,$A31,Raw_ScaleV!$D$2:$D$43,H$27)</f>
        <v>4969</v>
      </c>
    </row>
    <row r="32" customFormat="false" ht="15" hidden="false" customHeight="false" outlineLevel="0" collapsed="false">
      <c r="A32" s="3" t="n">
        <v>2000</v>
      </c>
      <c r="B32" s="3" t="n">
        <f aca="false">INDEX(Raw_ScaleV!$C$2:$C$43,MATCH(A32,Raw_ScaleV!$B$2:$B$43,0))</f>
        <v>10000</v>
      </c>
      <c r="C32" s="7" t="n">
        <f aca="false">SUMIFS(Raw_ScaleV!$F$2:$F$43,Raw_ScaleV!$B$2:$B$43,$A32,Raw_ScaleV!$D$2:$D$43,C$27)</f>
        <v>9602</v>
      </c>
      <c r="D32" s="7" t="n">
        <f aca="false">SUMIFS(Raw_ScaleV!$F$2:$F$43,Raw_ScaleV!$B$2:$B$43,$A32,Raw_ScaleV!$D$2:$D$43,D$27)</f>
        <v>19998</v>
      </c>
      <c r="E32" s="7" t="n">
        <f aca="false">SUMIFS(Raw_ScaleV!$F$2:$F$43,Raw_ScaleV!$B$2:$B$43,$A32,Raw_ScaleV!$D$2:$D$43,E$27)</f>
        <v>10000</v>
      </c>
      <c r="F32" s="7" t="n">
        <f aca="false">SUMIFS(Raw_ScaleV!$F$2:$F$43,Raw_ScaleV!$B$2:$B$43,$A32,Raw_ScaleV!$D$2:$D$43,F$27)</f>
        <v>20000</v>
      </c>
      <c r="G32" s="7" t="n">
        <f aca="false">SUMIFS(Raw_ScaleV!$F$2:$F$43,Raw_ScaleV!$B$2:$B$43,$A32,Raw_ScaleV!$D$2:$D$43,G$27)</f>
        <v>10050</v>
      </c>
      <c r="H32" s="7" t="n">
        <f aca="false">SUMIFS(Raw_ScaleV!$F$2:$F$43,Raw_ScaleV!$B$2:$B$43,$A32,Raw_ScaleV!$D$2:$D$43,H$27)</f>
        <v>9950</v>
      </c>
    </row>
    <row r="33" customFormat="false" ht="15" hidden="false" customHeight="false" outlineLevel="0" collapsed="false">
      <c r="A33" s="3" t="n">
        <v>5000</v>
      </c>
      <c r="B33" s="3" t="n">
        <f aca="false">INDEX(Raw_ScaleV!$C$2:$C$43,MATCH(A33,Raw_ScaleV!$B$2:$B$43,0))</f>
        <v>25000</v>
      </c>
      <c r="C33" s="7" t="n">
        <f aca="false">SUMIFS(Raw_ScaleV!$F$2:$F$43,Raw_ScaleV!$B$2:$B$43,$A33,Raw_ScaleV!$D$2:$D$43,C$27)</f>
        <v>22185</v>
      </c>
      <c r="D33" s="7" t="n">
        <f aca="false">SUMIFS(Raw_ScaleV!$F$2:$F$43,Raw_ScaleV!$B$2:$B$43,$A33,Raw_ScaleV!$D$2:$D$43,D$27)</f>
        <v>49999</v>
      </c>
      <c r="E33" s="7" t="n">
        <f aca="false">SUMIFS(Raw_ScaleV!$F$2:$F$43,Raw_ScaleV!$B$2:$B$43,$A33,Raw_ScaleV!$D$2:$D$43,E$27)</f>
        <v>25000</v>
      </c>
      <c r="F33" s="7" t="n">
        <f aca="false">SUMIFS(Raw_ScaleV!$F$2:$F$43,Raw_ScaleV!$B$2:$B$43,$A33,Raw_ScaleV!$D$2:$D$43,F$27)</f>
        <v>50000</v>
      </c>
      <c r="G33" s="7" t="n">
        <f aca="false">SUMIFS(Raw_ScaleV!$F$2:$F$43,Raw_ScaleV!$B$2:$B$43,$A33,Raw_ScaleV!$D$2:$D$43,G$27)</f>
        <v>25183</v>
      </c>
      <c r="H33" s="7" t="n">
        <f aca="false">SUMIFS(Raw_ScaleV!$F$2:$F$43,Raw_ScaleV!$B$2:$B$43,$A33,Raw_ScaleV!$D$2:$D$43,H$27)</f>
        <v>24817</v>
      </c>
    </row>
    <row r="34" customFormat="false" ht="15" hidden="false" customHeight="false" outlineLevel="0" collapsed="false">
      <c r="A34" s="3" t="n">
        <v>10000</v>
      </c>
      <c r="B34" s="3" t="n">
        <f aca="false">INDEX(Raw_ScaleV!$C$2:$C$43,MATCH(A34,Raw_ScaleV!$B$2:$B$43,0))</f>
        <v>50000</v>
      </c>
      <c r="C34" s="7" t="n">
        <f aca="false">SUMIFS(Raw_ScaleV!$F$2:$F$43,Raw_ScaleV!$B$2:$B$43,$A34,Raw_ScaleV!$D$2:$D$43,C$27)</f>
        <v>44038</v>
      </c>
      <c r="D34" s="7" t="n">
        <f aca="false">SUMIFS(Raw_ScaleV!$F$2:$F$43,Raw_ScaleV!$B$2:$B$43,$A34,Raw_ScaleV!$D$2:$D$43,D$27)</f>
        <v>99996</v>
      </c>
      <c r="E34" s="7" t="n">
        <f aca="false">SUMIFS(Raw_ScaleV!$F$2:$F$43,Raw_ScaleV!$B$2:$B$43,$A34,Raw_ScaleV!$D$2:$D$43,E$27)</f>
        <v>50000</v>
      </c>
      <c r="F34" s="7" t="n">
        <f aca="false">SUMIFS(Raw_ScaleV!$F$2:$F$43,Raw_ScaleV!$B$2:$B$43,$A34,Raw_ScaleV!$D$2:$D$43,F$27)</f>
        <v>100000</v>
      </c>
      <c r="G34" s="7" t="n">
        <f aca="false">SUMIFS(Raw_ScaleV!$F$2:$F$43,Raw_ScaleV!$B$2:$B$43,$A34,Raw_ScaleV!$D$2:$D$43,G$27)</f>
        <v>50391</v>
      </c>
      <c r="H34" s="7" t="n">
        <f aca="false">SUMIFS(Raw_ScaleV!$F$2:$F$43,Raw_ScaleV!$B$2:$B$43,$A34,Raw_ScaleV!$D$2:$D$43,H$27)</f>
        <v>49609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6" t="s">
        <v>40</v>
      </c>
    </row>
    <row r="4" customFormat="false" ht="15" hidden="false" customHeight="false" outlineLevel="0" collapsed="false">
      <c r="A4" s="5" t="s">
        <v>36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11</v>
      </c>
      <c r="D5" s="2" t="s">
        <v>13</v>
      </c>
      <c r="E5" s="2" t="s">
        <v>14</v>
      </c>
      <c r="F5" s="2" t="s">
        <v>16</v>
      </c>
      <c r="G5" s="2" t="s">
        <v>18</v>
      </c>
      <c r="H5" s="2" t="s">
        <v>20</v>
      </c>
    </row>
    <row r="6" customFormat="false" ht="15" hidden="false" customHeight="false" outlineLevel="0" collapsed="false">
      <c r="A6" s="3" t="n">
        <f aca="false">INDEX(Raw_ScaleE!$B$2:$B$37,MATCH(B6,Raw_ScaleE!$C$2:$C$37,0))</f>
        <v>1000</v>
      </c>
      <c r="B6" s="3" t="n">
        <v>2000</v>
      </c>
      <c r="C6" s="4" t="n">
        <f aca="false">SUMIFS(Raw_ScaleE!$E$2:$E$37,Raw_ScaleE!$C$2:$C$37,$B6,Raw_ScaleE!$D$2:$D$37,C$5)</f>
        <v>300.98</v>
      </c>
      <c r="D6" s="4" t="n">
        <f aca="false">SUMIFS(Raw_ScaleE!$E$2:$E$37,Raw_ScaleE!$C$2:$C$37,$B6,Raw_ScaleE!$D$2:$D$37,D$5)</f>
        <v>314.65</v>
      </c>
      <c r="E6" s="4" t="n">
        <f aca="false">SUMIFS(Raw_ScaleE!$E$2:$E$37,Raw_ScaleE!$C$2:$C$37,$B6,Raw_ScaleE!$D$2:$D$37,E$5)</f>
        <v>45.9</v>
      </c>
      <c r="F6" s="4" t="n">
        <f aca="false">SUMIFS(Raw_ScaleE!$E$2:$E$37,Raw_ScaleE!$C$2:$C$37,$B6,Raw_ScaleE!$D$2:$D$37,F$5)</f>
        <v>30.47</v>
      </c>
      <c r="G6" s="4" t="n">
        <f aca="false">SUMIFS(Raw_ScaleE!$E$2:$E$37,Raw_ScaleE!$C$2:$C$37,$B6,Raw_ScaleE!$D$2:$D$37,G$5)</f>
        <v>7.34</v>
      </c>
      <c r="H6" s="4" t="n">
        <f aca="false">SUMIFS(Raw_ScaleE!$E$2:$E$37,Raw_ScaleE!$C$2:$C$37,$B6,Raw_ScaleE!$D$2:$D$37,H$5)</f>
        <v>78.57</v>
      </c>
    </row>
    <row r="7" customFormat="false" ht="15" hidden="false" customHeight="false" outlineLevel="0" collapsed="false">
      <c r="A7" s="3" t="n">
        <f aca="false">INDEX(Raw_ScaleE!$B$2:$B$37,MATCH(B7,Raw_ScaleE!$C$2:$C$37,0))</f>
        <v>1000</v>
      </c>
      <c r="B7" s="3" t="n">
        <v>5000</v>
      </c>
      <c r="C7" s="4" t="n">
        <f aca="false">SUMIFS(Raw_ScaleE!$E$2:$E$37,Raw_ScaleE!$C$2:$C$37,$B7,Raw_ScaleE!$D$2:$D$37,C$5)</f>
        <v>731.29</v>
      </c>
      <c r="D7" s="4" t="n">
        <f aca="false">SUMIFS(Raw_ScaleE!$E$2:$E$37,Raw_ScaleE!$C$2:$C$37,$B7,Raw_ScaleE!$D$2:$D$37,D$5)</f>
        <v>922.77</v>
      </c>
      <c r="E7" s="4" t="n">
        <f aca="false">SUMIFS(Raw_ScaleE!$E$2:$E$37,Raw_ScaleE!$C$2:$C$37,$B7,Raw_ScaleE!$D$2:$D$37,E$5)</f>
        <v>70.4</v>
      </c>
      <c r="F7" s="4" t="n">
        <f aca="false">SUMIFS(Raw_ScaleE!$E$2:$E$37,Raw_ScaleE!$C$2:$C$37,$B7,Raw_ScaleE!$D$2:$D$37,F$5)</f>
        <v>62.21</v>
      </c>
      <c r="G7" s="4" t="n">
        <f aca="false">SUMIFS(Raw_ScaleE!$E$2:$E$37,Raw_ScaleE!$C$2:$C$37,$B7,Raw_ScaleE!$D$2:$D$37,G$5)</f>
        <v>8.17</v>
      </c>
      <c r="H7" s="4" t="n">
        <f aca="false">SUMIFS(Raw_ScaleE!$E$2:$E$37,Raw_ScaleE!$C$2:$C$37,$B7,Raw_ScaleE!$D$2:$D$37,H$5)</f>
        <v>174.88</v>
      </c>
    </row>
    <row r="8" customFormat="false" ht="15" hidden="false" customHeight="false" outlineLevel="0" collapsed="false">
      <c r="A8" s="3" t="n">
        <f aca="false">INDEX(Raw_ScaleE!$B$2:$B$37,MATCH(B8,Raw_ScaleE!$C$2:$C$37,0))</f>
        <v>1000</v>
      </c>
      <c r="B8" s="3" t="n">
        <v>10000</v>
      </c>
      <c r="C8" s="4" t="n">
        <f aca="false">SUMIFS(Raw_ScaleE!$E$2:$E$37,Raw_ScaleE!$C$2:$C$37,$B8,Raw_ScaleE!$D$2:$D$37,C$5)</f>
        <v>1598.33</v>
      </c>
      <c r="D8" s="4" t="n">
        <f aca="false">SUMIFS(Raw_ScaleE!$E$2:$E$37,Raw_ScaleE!$C$2:$C$37,$B8,Raw_ScaleE!$D$2:$D$37,D$5)</f>
        <v>1474.67</v>
      </c>
      <c r="E8" s="4" t="n">
        <f aca="false">SUMIFS(Raw_ScaleE!$E$2:$E$37,Raw_ScaleE!$C$2:$C$37,$B8,Raw_ScaleE!$D$2:$D$37,E$5)</f>
        <v>110.93</v>
      </c>
      <c r="F8" s="4" t="n">
        <f aca="false">SUMIFS(Raw_ScaleE!$E$2:$E$37,Raw_ScaleE!$C$2:$C$37,$B8,Raw_ScaleE!$D$2:$D$37,F$5)</f>
        <v>89.14</v>
      </c>
      <c r="G8" s="4" t="n">
        <f aca="false">SUMIFS(Raw_ScaleE!$E$2:$E$37,Raw_ScaleE!$C$2:$C$37,$B8,Raw_ScaleE!$D$2:$D$37,G$5)</f>
        <v>12.2</v>
      </c>
      <c r="H8" s="4" t="n">
        <f aca="false">SUMIFS(Raw_ScaleE!$E$2:$E$37,Raw_ScaleE!$C$2:$C$37,$B8,Raw_ScaleE!$D$2:$D$37,H$5)</f>
        <v>425.43</v>
      </c>
    </row>
    <row r="9" customFormat="false" ht="15" hidden="false" customHeight="false" outlineLevel="0" collapsed="false">
      <c r="A9" s="3" t="n">
        <f aca="false">INDEX(Raw_ScaleE!$B$2:$B$37,MATCH(B9,Raw_ScaleE!$C$2:$C$37,0))</f>
        <v>1000</v>
      </c>
      <c r="B9" s="3" t="n">
        <v>20000</v>
      </c>
      <c r="C9" s="4" t="n">
        <f aca="false">SUMIFS(Raw_ScaleE!$E$2:$E$37,Raw_ScaleE!$C$2:$C$37,$B9,Raw_ScaleE!$D$2:$D$37,C$5)</f>
        <v>3100.88</v>
      </c>
      <c r="D9" s="4" t="n">
        <f aca="false">SUMIFS(Raw_ScaleE!$E$2:$E$37,Raw_ScaleE!$C$2:$C$37,$B9,Raw_ScaleE!$D$2:$D$37,D$5)</f>
        <v>1595.72</v>
      </c>
      <c r="E9" s="4" t="n">
        <f aca="false">SUMIFS(Raw_ScaleE!$E$2:$E$37,Raw_ScaleE!$C$2:$C$37,$B9,Raw_ScaleE!$D$2:$D$37,E$5)</f>
        <v>136.67</v>
      </c>
      <c r="F9" s="4" t="n">
        <f aca="false">SUMIFS(Raw_ScaleE!$E$2:$E$37,Raw_ScaleE!$C$2:$C$37,$B9,Raw_ScaleE!$D$2:$D$37,F$5)</f>
        <v>131.97</v>
      </c>
      <c r="G9" s="4" t="n">
        <f aca="false">SUMIFS(Raw_ScaleE!$E$2:$E$37,Raw_ScaleE!$C$2:$C$37,$B9,Raw_ScaleE!$D$2:$D$37,G$5)</f>
        <v>32.19</v>
      </c>
      <c r="H9" s="4" t="n">
        <f aca="false">SUMIFS(Raw_ScaleE!$E$2:$E$37,Raw_ScaleE!$C$2:$C$37,$B9,Raw_ScaleE!$D$2:$D$37,H$5)</f>
        <v>590.02</v>
      </c>
    </row>
    <row r="10" customFormat="false" ht="15" hidden="false" customHeight="false" outlineLevel="0" collapsed="false">
      <c r="A10" s="3" t="n">
        <f aca="false">INDEX(Raw_ScaleE!$B$2:$B$37,MATCH(B10,Raw_ScaleE!$C$2:$C$37,0))</f>
        <v>1000</v>
      </c>
      <c r="B10" s="3" t="n">
        <v>50000</v>
      </c>
      <c r="C10" s="4" t="n">
        <f aca="false">SUMIFS(Raw_ScaleE!$E$2:$E$37,Raw_ScaleE!$C$2:$C$37,$B10,Raw_ScaleE!$D$2:$D$37,C$5)</f>
        <v>7787.08</v>
      </c>
      <c r="D10" s="4" t="n">
        <f aca="false">SUMIFS(Raw_ScaleE!$E$2:$E$37,Raw_ScaleE!$C$2:$C$37,$B10,Raw_ScaleE!$D$2:$D$37,D$5)</f>
        <v>3093.02</v>
      </c>
      <c r="E10" s="4" t="n">
        <f aca="false">SUMIFS(Raw_ScaleE!$E$2:$E$37,Raw_ScaleE!$C$2:$C$37,$B10,Raw_ScaleE!$D$2:$D$37,E$5)</f>
        <v>392.88</v>
      </c>
      <c r="F10" s="4" t="n">
        <f aca="false">SUMIFS(Raw_ScaleE!$E$2:$E$37,Raw_ScaleE!$C$2:$C$37,$B10,Raw_ScaleE!$D$2:$D$37,F$5)</f>
        <v>440.54</v>
      </c>
      <c r="G10" s="4" t="n">
        <f aca="false">SUMIFS(Raw_ScaleE!$E$2:$E$37,Raw_ScaleE!$C$2:$C$37,$B10,Raw_ScaleE!$D$2:$D$37,G$5)</f>
        <v>85.61</v>
      </c>
      <c r="H10" s="4" t="n">
        <f aca="false">SUMIFS(Raw_ScaleE!$E$2:$E$37,Raw_ScaleE!$C$2:$C$37,$B10,Raw_ScaleE!$D$2:$D$37,H$5)</f>
        <v>1088.11</v>
      </c>
    </row>
    <row r="11" customFormat="false" ht="15" hidden="false" customHeight="false" outlineLevel="0" collapsed="false">
      <c r="A11" s="3" t="n">
        <f aca="false">INDEX(Raw_ScaleE!$B$2:$B$37,MATCH(B11,Raw_ScaleE!$C$2:$C$37,0))</f>
        <v>1000</v>
      </c>
      <c r="B11" s="3" t="n">
        <v>100000</v>
      </c>
      <c r="C11" s="4" t="n">
        <f aca="false">SUMIFS(Raw_ScaleE!$E$2:$E$37,Raw_ScaleE!$C$2:$C$37,$B11,Raw_ScaleE!$D$2:$D$37,C$5)</f>
        <v>14804.88</v>
      </c>
      <c r="D11" s="4" t="n">
        <f aca="false">SUMIFS(Raw_ScaleE!$E$2:$E$37,Raw_ScaleE!$C$2:$C$37,$B11,Raw_ScaleE!$D$2:$D$37,D$5)</f>
        <v>7243.12</v>
      </c>
      <c r="E11" s="4" t="n">
        <f aca="false">SUMIFS(Raw_ScaleE!$E$2:$E$37,Raw_ScaleE!$C$2:$C$37,$B11,Raw_ScaleE!$D$2:$D$37,E$5)</f>
        <v>513.01</v>
      </c>
      <c r="F11" s="4" t="n">
        <f aca="false">SUMIFS(Raw_ScaleE!$E$2:$E$37,Raw_ScaleE!$C$2:$C$37,$B11,Raw_ScaleE!$D$2:$D$37,F$5)</f>
        <v>482.58</v>
      </c>
      <c r="G11" s="4" t="n">
        <f aca="false">SUMIFS(Raw_ScaleE!$E$2:$E$37,Raw_ScaleE!$C$2:$C$37,$B11,Raw_ScaleE!$D$2:$D$37,G$5)</f>
        <v>142.09</v>
      </c>
      <c r="H11" s="4" t="n">
        <f aca="false">SUMIFS(Raw_ScaleE!$E$2:$E$37,Raw_ScaleE!$C$2:$C$37,$B11,Raw_ScaleE!$D$2:$D$37,H$5)</f>
        <v>1527.73</v>
      </c>
    </row>
    <row r="14" customFormat="false" ht="15" hidden="false" customHeight="false" outlineLevel="0" collapsed="false">
      <c r="A14" s="5" t="s">
        <v>37</v>
      </c>
    </row>
    <row r="15" customFormat="false" ht="15" hidden="false" customHeight="false" outlineLevel="0" collapsed="false">
      <c r="A15" s="2" t="s">
        <v>2</v>
      </c>
      <c r="B15" s="2" t="s">
        <v>3</v>
      </c>
      <c r="C15" s="2" t="s">
        <v>11</v>
      </c>
      <c r="D15" s="2" t="s">
        <v>13</v>
      </c>
      <c r="E15" s="2" t="s">
        <v>14</v>
      </c>
      <c r="F15" s="2" t="s">
        <v>16</v>
      </c>
      <c r="G15" s="2" t="s">
        <v>18</v>
      </c>
      <c r="H15" s="2" t="s">
        <v>20</v>
      </c>
    </row>
    <row r="16" customFormat="false" ht="15" hidden="false" customHeight="false" outlineLevel="0" collapsed="false">
      <c r="A16" s="3" t="n">
        <f aca="false">INDEX(Raw_ScaleE!$B$2:$B$37,MATCH(B16,Raw_ScaleE!$C$2:$C$37,0))</f>
        <v>1000</v>
      </c>
      <c r="B16" s="3" t="n">
        <v>2000</v>
      </c>
      <c r="C16" s="7" t="n">
        <f aca="false">SUMIFS(Raw_ScaleE!$G$2:$G$37,Raw_ScaleE!$C$2:$C$37,$B16,Raw_ScaleE!$D$2:$D$37,C$15)</f>
        <v>18823</v>
      </c>
      <c r="D16" s="7" t="n">
        <f aca="false">SUMIFS(Raw_ScaleE!$G$2:$G$37,Raw_ScaleE!$C$2:$C$37,$B16,Raw_ScaleE!$D$2:$D$37,D$15)</f>
        <v>39489</v>
      </c>
      <c r="E16" s="7" t="n">
        <f aca="false">SUMIFS(Raw_ScaleE!$G$2:$G$37,Raw_ScaleE!$C$2:$C$37,$B16,Raw_ScaleE!$D$2:$D$37,E$15)</f>
        <v>0</v>
      </c>
      <c r="F16" s="7" t="n">
        <f aca="false">SUMIFS(Raw_ScaleE!$G$2:$G$37,Raw_ScaleE!$C$2:$C$37,$B16,Raw_ScaleE!$D$2:$D$37,F$15)</f>
        <v>0</v>
      </c>
      <c r="G16" s="7" t="n">
        <f aca="false">SUMIFS(Raw_ScaleE!$G$2:$G$37,Raw_ScaleE!$C$2:$C$37,$B16,Raw_ScaleE!$D$2:$D$37,G$15)</f>
        <v>0</v>
      </c>
      <c r="H16" s="7" t="n">
        <f aca="false">SUMIFS(Raw_ScaleE!$G$2:$G$37,Raw_ScaleE!$C$2:$C$37,$B16,Raw_ScaleE!$D$2:$D$37,H$15)</f>
        <v>10263</v>
      </c>
    </row>
    <row r="17" customFormat="false" ht="15" hidden="false" customHeight="false" outlineLevel="0" collapsed="false">
      <c r="A17" s="3" t="n">
        <f aca="false">INDEX(Raw_ScaleE!$B$2:$B$37,MATCH(B17,Raw_ScaleE!$C$2:$C$37,0))</f>
        <v>1000</v>
      </c>
      <c r="B17" s="3" t="n">
        <v>5000</v>
      </c>
      <c r="C17" s="7" t="n">
        <f aca="false">SUMIFS(Raw_ScaleE!$G$2:$G$37,Raw_ScaleE!$C$2:$C$37,$B17,Raw_ScaleE!$D$2:$D$37,C$15)</f>
        <v>50369</v>
      </c>
      <c r="D17" s="7" t="n">
        <f aca="false">SUMIFS(Raw_ScaleE!$G$2:$G$37,Raw_ScaleE!$C$2:$C$37,$B17,Raw_ScaleE!$D$2:$D$37,D$15)</f>
        <v>85148</v>
      </c>
      <c r="E17" s="7" t="n">
        <f aca="false">SUMIFS(Raw_ScaleE!$G$2:$G$37,Raw_ScaleE!$C$2:$C$37,$B17,Raw_ScaleE!$D$2:$D$37,E$15)</f>
        <v>0</v>
      </c>
      <c r="F17" s="7" t="n">
        <f aca="false">SUMIFS(Raw_ScaleE!$G$2:$G$37,Raw_ScaleE!$C$2:$C$37,$B17,Raw_ScaleE!$D$2:$D$37,F$15)</f>
        <v>0</v>
      </c>
      <c r="G17" s="7" t="n">
        <f aca="false">SUMIFS(Raw_ScaleE!$G$2:$G$37,Raw_ScaleE!$C$2:$C$37,$B17,Raw_ScaleE!$D$2:$D$37,G$15)</f>
        <v>0</v>
      </c>
      <c r="H17" s="7" t="n">
        <f aca="false">SUMIFS(Raw_ScaleE!$G$2:$G$37,Raw_ScaleE!$C$2:$C$37,$B17,Raw_ScaleE!$D$2:$D$37,H$15)</f>
        <v>23478</v>
      </c>
    </row>
    <row r="18" customFormat="false" ht="15" hidden="false" customHeight="false" outlineLevel="0" collapsed="false">
      <c r="A18" s="3" t="n">
        <f aca="false">INDEX(Raw_ScaleE!$B$2:$B$37,MATCH(B18,Raw_ScaleE!$C$2:$C$37,0))</f>
        <v>1000</v>
      </c>
      <c r="B18" s="3" t="n">
        <v>10000</v>
      </c>
      <c r="C18" s="7" t="n">
        <f aca="false">SUMIFS(Raw_ScaleE!$G$2:$G$37,Raw_ScaleE!$C$2:$C$37,$B18,Raw_ScaleE!$D$2:$D$37,C$15)</f>
        <v>103055</v>
      </c>
      <c r="D18" s="7" t="n">
        <f aca="false">SUMIFS(Raw_ScaleE!$G$2:$G$37,Raw_ScaleE!$C$2:$C$37,$B18,Raw_ScaleE!$D$2:$D$37,D$15)</f>
        <v>121849</v>
      </c>
      <c r="E18" s="7" t="n">
        <f aca="false">SUMIFS(Raw_ScaleE!$G$2:$G$37,Raw_ScaleE!$C$2:$C$37,$B18,Raw_ScaleE!$D$2:$D$37,E$15)</f>
        <v>0</v>
      </c>
      <c r="F18" s="7" t="n">
        <f aca="false">SUMIFS(Raw_ScaleE!$G$2:$G$37,Raw_ScaleE!$C$2:$C$37,$B18,Raw_ScaleE!$D$2:$D$37,F$15)</f>
        <v>0</v>
      </c>
      <c r="G18" s="7" t="n">
        <f aca="false">SUMIFS(Raw_ScaleE!$G$2:$G$37,Raw_ScaleE!$C$2:$C$37,$B18,Raw_ScaleE!$D$2:$D$37,G$15)</f>
        <v>0</v>
      </c>
      <c r="H18" s="7" t="n">
        <f aca="false">SUMIFS(Raw_ScaleE!$G$2:$G$37,Raw_ScaleE!$C$2:$C$37,$B18,Raw_ScaleE!$D$2:$D$37,H$15)</f>
        <v>35651</v>
      </c>
    </row>
    <row r="19" customFormat="false" ht="15" hidden="false" customHeight="false" outlineLevel="0" collapsed="false">
      <c r="A19" s="3" t="n">
        <f aca="false">INDEX(Raw_ScaleE!$B$2:$B$37,MATCH(B19,Raw_ScaleE!$C$2:$C$37,0))</f>
        <v>1000</v>
      </c>
      <c r="B19" s="3" t="n">
        <v>20000</v>
      </c>
      <c r="C19" s="7" t="n">
        <f aca="false">SUMIFS(Raw_ScaleE!$G$2:$G$37,Raw_ScaleE!$C$2:$C$37,$B19,Raw_ScaleE!$D$2:$D$37,C$15)</f>
        <v>209098</v>
      </c>
      <c r="D19" s="7" t="n">
        <f aca="false">SUMIFS(Raw_ScaleE!$G$2:$G$37,Raw_ScaleE!$C$2:$C$37,$B19,Raw_ScaleE!$D$2:$D$37,D$15)</f>
        <v>138188</v>
      </c>
      <c r="E19" s="7" t="n">
        <f aca="false">SUMIFS(Raw_ScaleE!$G$2:$G$37,Raw_ScaleE!$C$2:$C$37,$B19,Raw_ScaleE!$D$2:$D$37,E$15)</f>
        <v>0</v>
      </c>
      <c r="F19" s="7" t="n">
        <f aca="false">SUMIFS(Raw_ScaleE!$G$2:$G$37,Raw_ScaleE!$C$2:$C$37,$B19,Raw_ScaleE!$D$2:$D$37,F$15)</f>
        <v>0</v>
      </c>
      <c r="G19" s="7" t="n">
        <f aca="false">SUMIFS(Raw_ScaleE!$G$2:$G$37,Raw_ScaleE!$C$2:$C$37,$B19,Raw_ScaleE!$D$2:$D$37,G$15)</f>
        <v>0</v>
      </c>
      <c r="H19" s="7" t="n">
        <f aca="false">SUMIFS(Raw_ScaleE!$G$2:$G$37,Raw_ScaleE!$C$2:$C$37,$B19,Raw_ScaleE!$D$2:$D$37,H$15)</f>
        <v>47765</v>
      </c>
    </row>
    <row r="20" customFormat="false" ht="15" hidden="false" customHeight="false" outlineLevel="0" collapsed="false">
      <c r="A20" s="3" t="n">
        <f aca="false">INDEX(Raw_ScaleE!$B$2:$B$37,MATCH(B20,Raw_ScaleE!$C$2:$C$37,0))</f>
        <v>1000</v>
      </c>
      <c r="B20" s="3" t="n">
        <v>50000</v>
      </c>
      <c r="C20" s="7" t="n">
        <f aca="false">SUMIFS(Raw_ScaleE!$G$2:$G$37,Raw_ScaleE!$C$2:$C$37,$B20,Raw_ScaleE!$D$2:$D$37,C$15)</f>
        <v>527830</v>
      </c>
      <c r="D20" s="7" t="n">
        <f aca="false">SUMIFS(Raw_ScaleE!$G$2:$G$37,Raw_ScaleE!$C$2:$C$37,$B20,Raw_ScaleE!$D$2:$D$37,D$15)</f>
        <v>228040</v>
      </c>
      <c r="E20" s="7" t="n">
        <f aca="false">SUMIFS(Raw_ScaleE!$G$2:$G$37,Raw_ScaleE!$C$2:$C$37,$B20,Raw_ScaleE!$D$2:$D$37,E$15)</f>
        <v>0</v>
      </c>
      <c r="F20" s="7" t="n">
        <f aca="false">SUMIFS(Raw_ScaleE!$G$2:$G$37,Raw_ScaleE!$C$2:$C$37,$B20,Raw_ScaleE!$D$2:$D$37,F$15)</f>
        <v>0</v>
      </c>
      <c r="G20" s="7" t="n">
        <f aca="false">SUMIFS(Raw_ScaleE!$G$2:$G$37,Raw_ScaleE!$C$2:$C$37,$B20,Raw_ScaleE!$D$2:$D$37,G$15)</f>
        <v>0</v>
      </c>
      <c r="H20" s="7" t="n">
        <f aca="false">SUMIFS(Raw_ScaleE!$G$2:$G$37,Raw_ScaleE!$C$2:$C$37,$B20,Raw_ScaleE!$D$2:$D$37,H$15)</f>
        <v>67519</v>
      </c>
    </row>
    <row r="21" customFormat="false" ht="15" hidden="false" customHeight="false" outlineLevel="0" collapsed="false">
      <c r="A21" s="3" t="n">
        <f aca="false">INDEX(Raw_ScaleE!$B$2:$B$37,MATCH(B21,Raw_ScaleE!$C$2:$C$37,0))</f>
        <v>1000</v>
      </c>
      <c r="B21" s="3" t="n">
        <v>100000</v>
      </c>
      <c r="C21" s="7" t="n">
        <f aca="false">SUMIFS(Raw_ScaleE!$G$2:$G$37,Raw_ScaleE!$C$2:$C$37,$B21,Raw_ScaleE!$D$2:$D$37,C$15)</f>
        <v>1058747</v>
      </c>
      <c r="D21" s="7" t="n">
        <f aca="false">SUMIFS(Raw_ScaleE!$G$2:$G$37,Raw_ScaleE!$C$2:$C$37,$B21,Raw_ScaleE!$D$2:$D$37,D$15)</f>
        <v>341455</v>
      </c>
      <c r="E21" s="7" t="n">
        <f aca="false">SUMIFS(Raw_ScaleE!$G$2:$G$37,Raw_ScaleE!$C$2:$C$37,$B21,Raw_ScaleE!$D$2:$D$37,E$15)</f>
        <v>0</v>
      </c>
      <c r="F21" s="7" t="n">
        <f aca="false">SUMIFS(Raw_ScaleE!$G$2:$G$37,Raw_ScaleE!$C$2:$C$37,$B21,Raw_ScaleE!$D$2:$D$37,F$15)</f>
        <v>0</v>
      </c>
      <c r="G21" s="7" t="n">
        <f aca="false">SUMIFS(Raw_ScaleE!$G$2:$G$37,Raw_ScaleE!$C$2:$C$37,$B21,Raw_ScaleE!$D$2:$D$37,G$15)</f>
        <v>0</v>
      </c>
      <c r="H21" s="7" t="n">
        <f aca="false">SUMIFS(Raw_ScaleE!$G$2:$G$37,Raw_ScaleE!$C$2:$C$37,$B21,Raw_ScaleE!$D$2:$D$37,H$15)</f>
        <v>80134</v>
      </c>
    </row>
    <row r="24" customFormat="false" ht="15" hidden="false" customHeight="false" outlineLevel="0" collapsed="false">
      <c r="A24" s="5" t="s">
        <v>38</v>
      </c>
    </row>
    <row r="25" customFormat="false" ht="15" hidden="false" customHeight="false" outlineLevel="0" collapsed="false">
      <c r="A25" s="2" t="s">
        <v>2</v>
      </c>
      <c r="B25" s="2" t="s">
        <v>3</v>
      </c>
      <c r="C25" s="2" t="s">
        <v>11</v>
      </c>
      <c r="D25" s="2" t="s">
        <v>13</v>
      </c>
      <c r="E25" s="2" t="s">
        <v>14</v>
      </c>
      <c r="F25" s="2" t="s">
        <v>16</v>
      </c>
      <c r="G25" s="2" t="s">
        <v>18</v>
      </c>
      <c r="H25" s="2" t="s">
        <v>20</v>
      </c>
    </row>
    <row r="26" customFormat="false" ht="15" hidden="false" customHeight="false" outlineLevel="0" collapsed="false">
      <c r="A26" s="3" t="n">
        <f aca="false">INDEX(Raw_ScaleE!$B$2:$B$37,MATCH(B26,Raw_ScaleE!$C$2:$C$37,0))</f>
        <v>1000</v>
      </c>
      <c r="B26" s="3" t="n">
        <v>2000</v>
      </c>
      <c r="C26" s="7" t="n">
        <f aca="false">SUMIFS(Raw_ScaleE!$F$2:$F$37,Raw_ScaleE!$C$2:$C$37,$B26,Raw_ScaleE!$D$2:$D$37,C$25)</f>
        <v>1948</v>
      </c>
      <c r="D26" s="7" t="n">
        <f aca="false">SUMIFS(Raw_ScaleE!$F$2:$F$37,Raw_ScaleE!$C$2:$C$37,$B26,Raw_ScaleE!$D$2:$D$37,D$25)</f>
        <v>3999</v>
      </c>
      <c r="E26" s="7" t="n">
        <f aca="false">SUMIFS(Raw_ScaleE!$F$2:$F$37,Raw_ScaleE!$C$2:$C$37,$B26,Raw_ScaleE!$D$2:$D$37,E$25)</f>
        <v>2000</v>
      </c>
      <c r="F26" s="7" t="n">
        <f aca="false">SUMIFS(Raw_ScaleE!$F$2:$F$37,Raw_ScaleE!$C$2:$C$37,$B26,Raw_ScaleE!$D$2:$D$37,F$25)</f>
        <v>4000</v>
      </c>
      <c r="G26" s="7" t="n">
        <f aca="false">SUMIFS(Raw_ScaleE!$F$2:$F$37,Raw_ScaleE!$C$2:$C$37,$B26,Raw_ScaleE!$D$2:$D$37,G$25)</f>
        <v>2423</v>
      </c>
      <c r="H26" s="7" t="n">
        <f aca="false">SUMIFS(Raw_ScaleE!$F$2:$F$37,Raw_ScaleE!$C$2:$C$37,$B26,Raw_ScaleE!$D$2:$D$37,H$25)</f>
        <v>1577</v>
      </c>
    </row>
    <row r="27" customFormat="false" ht="15" hidden="false" customHeight="false" outlineLevel="0" collapsed="false">
      <c r="A27" s="3" t="n">
        <f aca="false">INDEX(Raw_ScaleE!$B$2:$B$37,MATCH(B27,Raw_ScaleE!$C$2:$C$37,0))</f>
        <v>1000</v>
      </c>
      <c r="B27" s="3" t="n">
        <v>5000</v>
      </c>
      <c r="C27" s="7" t="n">
        <f aca="false">SUMIFS(Raw_ScaleE!$F$2:$F$37,Raw_ScaleE!$C$2:$C$37,$B27,Raw_ScaleE!$D$2:$D$37,C$25)</f>
        <v>3356</v>
      </c>
      <c r="D27" s="7" t="n">
        <f aca="false">SUMIFS(Raw_ScaleE!$F$2:$F$37,Raw_ScaleE!$C$2:$C$37,$B27,Raw_ScaleE!$D$2:$D$37,D$25)</f>
        <v>9997</v>
      </c>
      <c r="E27" s="7" t="n">
        <f aca="false">SUMIFS(Raw_ScaleE!$F$2:$F$37,Raw_ScaleE!$C$2:$C$37,$B27,Raw_ScaleE!$D$2:$D$37,E$25)</f>
        <v>5000</v>
      </c>
      <c r="F27" s="7" t="n">
        <f aca="false">SUMIFS(Raw_ScaleE!$F$2:$F$37,Raw_ScaleE!$C$2:$C$37,$B27,Raw_ScaleE!$D$2:$D$37,F$25)</f>
        <v>10000</v>
      </c>
      <c r="G27" s="7" t="n">
        <f aca="false">SUMIFS(Raw_ScaleE!$F$2:$F$37,Raw_ScaleE!$C$2:$C$37,$B27,Raw_ScaleE!$D$2:$D$37,G$25)</f>
        <v>5031</v>
      </c>
      <c r="H27" s="7" t="n">
        <f aca="false">SUMIFS(Raw_ScaleE!$F$2:$F$37,Raw_ScaleE!$C$2:$C$37,$B27,Raw_ScaleE!$D$2:$D$37,H$25)</f>
        <v>4969</v>
      </c>
    </row>
    <row r="28" customFormat="false" ht="15" hidden="false" customHeight="false" outlineLevel="0" collapsed="false">
      <c r="A28" s="3" t="n">
        <f aca="false">INDEX(Raw_ScaleE!$B$2:$B$37,MATCH(B28,Raw_ScaleE!$C$2:$C$37,0))</f>
        <v>1000</v>
      </c>
      <c r="B28" s="3" t="n">
        <v>10000</v>
      </c>
      <c r="C28" s="7" t="n">
        <f aca="false">SUMIFS(Raw_ScaleE!$F$2:$F$37,Raw_ScaleE!$C$2:$C$37,$B28,Raw_ScaleE!$D$2:$D$37,C$25)</f>
        <v>4083</v>
      </c>
      <c r="D28" s="7" t="n">
        <f aca="false">SUMIFS(Raw_ScaleE!$F$2:$F$37,Raw_ScaleE!$C$2:$C$37,$B28,Raw_ScaleE!$D$2:$D$37,D$25)</f>
        <v>19988</v>
      </c>
      <c r="E28" s="7" t="n">
        <f aca="false">SUMIFS(Raw_ScaleE!$F$2:$F$37,Raw_ScaleE!$C$2:$C$37,$B28,Raw_ScaleE!$D$2:$D$37,E$25)</f>
        <v>10000</v>
      </c>
      <c r="F28" s="7" t="n">
        <f aca="false">SUMIFS(Raw_ScaleE!$F$2:$F$37,Raw_ScaleE!$C$2:$C$37,$B28,Raw_ScaleE!$D$2:$D$37,F$25)</f>
        <v>20000</v>
      </c>
      <c r="G28" s="7" t="n">
        <f aca="false">SUMIFS(Raw_ScaleE!$F$2:$F$37,Raw_ScaleE!$C$2:$C$37,$B28,Raw_ScaleE!$D$2:$D$37,G$25)</f>
        <v>10000</v>
      </c>
      <c r="H28" s="7" t="n">
        <f aca="false">SUMIFS(Raw_ScaleE!$F$2:$F$37,Raw_ScaleE!$C$2:$C$37,$B28,Raw_ScaleE!$D$2:$D$37,H$25)</f>
        <v>10000</v>
      </c>
    </row>
    <row r="29" customFormat="false" ht="15" hidden="false" customHeight="false" outlineLevel="0" collapsed="false">
      <c r="A29" s="3" t="n">
        <f aca="false">INDEX(Raw_ScaleE!$B$2:$B$37,MATCH(B29,Raw_ScaleE!$C$2:$C$37,0))</f>
        <v>1000</v>
      </c>
      <c r="B29" s="3" t="n">
        <v>20000</v>
      </c>
      <c r="C29" s="7" t="n">
        <f aca="false">SUMIFS(Raw_ScaleE!$F$2:$F$37,Raw_ScaleE!$C$2:$C$37,$B29,Raw_ScaleE!$D$2:$D$37,C$25)</f>
        <v>3571</v>
      </c>
      <c r="D29" s="7" t="n">
        <f aca="false">SUMIFS(Raw_ScaleE!$F$2:$F$37,Raw_ScaleE!$C$2:$C$37,$B29,Raw_ScaleE!$D$2:$D$37,D$25)</f>
        <v>39961</v>
      </c>
      <c r="E29" s="7" t="n">
        <f aca="false">SUMIFS(Raw_ScaleE!$F$2:$F$37,Raw_ScaleE!$C$2:$C$37,$B29,Raw_ScaleE!$D$2:$D$37,E$25)</f>
        <v>20000</v>
      </c>
      <c r="F29" s="7" t="n">
        <f aca="false">SUMIFS(Raw_ScaleE!$F$2:$F$37,Raw_ScaleE!$C$2:$C$37,$B29,Raw_ScaleE!$D$2:$D$37,F$25)</f>
        <v>40000</v>
      </c>
      <c r="G29" s="7" t="n">
        <f aca="false">SUMIFS(Raw_ScaleE!$F$2:$F$37,Raw_ScaleE!$C$2:$C$37,$B29,Raw_ScaleE!$D$2:$D$37,G$25)</f>
        <v>20000</v>
      </c>
      <c r="H29" s="7" t="n">
        <f aca="false">SUMIFS(Raw_ScaleE!$F$2:$F$37,Raw_ScaleE!$C$2:$C$37,$B29,Raw_ScaleE!$D$2:$D$37,H$25)</f>
        <v>20000</v>
      </c>
    </row>
    <row r="30" customFormat="false" ht="15" hidden="false" customHeight="false" outlineLevel="0" collapsed="false">
      <c r="A30" s="3" t="n">
        <f aca="false">INDEX(Raw_ScaleE!$B$2:$B$37,MATCH(B30,Raw_ScaleE!$C$2:$C$37,0))</f>
        <v>1000</v>
      </c>
      <c r="B30" s="3" t="n">
        <v>50000</v>
      </c>
      <c r="C30" s="7" t="n">
        <f aca="false">SUMIFS(Raw_ScaleE!$F$2:$F$37,Raw_ScaleE!$C$2:$C$37,$B30,Raw_ScaleE!$D$2:$D$37,C$25)</f>
        <v>3939</v>
      </c>
      <c r="D30" s="7" t="n">
        <f aca="false">SUMIFS(Raw_ScaleE!$F$2:$F$37,Raw_ScaleE!$C$2:$C$37,$B30,Raw_ScaleE!$D$2:$D$37,D$25)</f>
        <v>99906</v>
      </c>
      <c r="E30" s="7" t="n">
        <f aca="false">SUMIFS(Raw_ScaleE!$F$2:$F$37,Raw_ScaleE!$C$2:$C$37,$B30,Raw_ScaleE!$D$2:$D$37,E$25)</f>
        <v>50000</v>
      </c>
      <c r="F30" s="7" t="n">
        <f aca="false">SUMIFS(Raw_ScaleE!$F$2:$F$37,Raw_ScaleE!$C$2:$C$37,$B30,Raw_ScaleE!$D$2:$D$37,F$25)</f>
        <v>100000</v>
      </c>
      <c r="G30" s="7" t="n">
        <f aca="false">SUMIFS(Raw_ScaleE!$F$2:$F$37,Raw_ScaleE!$C$2:$C$37,$B30,Raw_ScaleE!$D$2:$D$37,G$25)</f>
        <v>50000</v>
      </c>
      <c r="H30" s="7" t="n">
        <f aca="false">SUMIFS(Raw_ScaleE!$F$2:$F$37,Raw_ScaleE!$C$2:$C$37,$B30,Raw_ScaleE!$D$2:$D$37,H$25)</f>
        <v>50000</v>
      </c>
    </row>
    <row r="31" customFormat="false" ht="15" hidden="false" customHeight="false" outlineLevel="0" collapsed="false">
      <c r="A31" s="3" t="n">
        <f aca="false">INDEX(Raw_ScaleE!$B$2:$B$37,MATCH(B31,Raw_ScaleE!$C$2:$C$37,0))</f>
        <v>1000</v>
      </c>
      <c r="B31" s="3" t="n">
        <v>100000</v>
      </c>
      <c r="C31" s="7" t="n">
        <f aca="false">SUMIFS(Raw_ScaleE!$F$2:$F$37,Raw_ScaleE!$C$2:$C$37,$B31,Raw_ScaleE!$D$2:$D$37,C$25)</f>
        <v>3980</v>
      </c>
      <c r="D31" s="7" t="n">
        <f aca="false">SUMIFS(Raw_ScaleE!$F$2:$F$37,Raw_ScaleE!$C$2:$C$37,$B31,Raw_ScaleE!$D$2:$D$37,D$25)</f>
        <v>199797</v>
      </c>
      <c r="E31" s="7" t="n">
        <f aca="false">SUMIFS(Raw_ScaleE!$F$2:$F$37,Raw_ScaleE!$C$2:$C$37,$B31,Raw_ScaleE!$D$2:$D$37,E$25)</f>
        <v>100000</v>
      </c>
      <c r="F31" s="7" t="n">
        <f aca="false">SUMIFS(Raw_ScaleE!$F$2:$F$37,Raw_ScaleE!$C$2:$C$37,$B31,Raw_ScaleE!$D$2:$D$37,F$25)</f>
        <v>200000</v>
      </c>
      <c r="G31" s="7" t="n">
        <f aca="false">SUMIFS(Raw_ScaleE!$F$2:$F$37,Raw_ScaleE!$C$2:$C$37,$B31,Raw_ScaleE!$D$2:$D$37,G$25)</f>
        <v>100000</v>
      </c>
      <c r="H31" s="7" t="n">
        <f aca="false">SUMIFS(Raw_ScaleE!$F$2:$F$37,Raw_ScaleE!$C$2:$C$37,$B31,Raw_ScaleE!$D$2:$D$37,H$25)</f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5" t="s">
        <v>42</v>
      </c>
    </row>
    <row r="4" customFormat="false" ht="26.85" hidden="false" customHeight="false" outlineLevel="0" collapsed="false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</row>
    <row r="5" customFormat="false" ht="15" hidden="false" customHeight="false" outlineLevel="0" collapsed="false">
      <c r="A5" s="3" t="n">
        <v>100</v>
      </c>
      <c r="B5" s="7" t="n">
        <f aca="false">SUMIFS(Raw_DSU!$D$2:$D$25,Raw_DSU!$A$2:$A$25,"chain",Raw_DSU!$B$2:$B$25,$A5,Raw_DSU!$C$2:$C$25,B$4)</f>
        <v>4950</v>
      </c>
      <c r="C5" s="7" t="n">
        <f aca="false">SUMIFS(Raw_DSU!$D$2:$D$25,Raw_DSU!$A$2:$A$25,"chain",Raw_DSU!$B$2:$B$25,$A5,Raw_DSU!$C$2:$C$25,C$4)</f>
        <v>197</v>
      </c>
      <c r="D5" s="7" t="n">
        <f aca="false">SUMIFS(Raw_DSU!$D$2:$D$25,Raw_DSU!$A$2:$A$25,"chain",Raw_DSU!$B$2:$B$25,$A5,Raw_DSU!$C$2:$C$25,D$4)</f>
        <v>196</v>
      </c>
      <c r="E5" s="7" t="n">
        <f aca="false">SUMIFS(Raw_DSU!$D$2:$D$25,Raw_DSU!$A$2:$A$25,"chain",Raw_DSU!$B$2:$B$25,$A5,Raw_DSU!$C$2:$C$25,E$4)</f>
        <v>196</v>
      </c>
    </row>
    <row r="6" customFormat="false" ht="15" hidden="false" customHeight="false" outlineLevel="0" collapsed="false">
      <c r="A6" s="3" t="n">
        <v>1000</v>
      </c>
      <c r="B6" s="7" t="n">
        <f aca="false">SUMIFS(Raw_DSU!$D$2:$D$25,Raw_DSU!$A$2:$A$25,"chain",Raw_DSU!$B$2:$B$25,$A6,Raw_DSU!$C$2:$C$25,B$4)</f>
        <v>499500</v>
      </c>
      <c r="C6" s="7" t="n">
        <f aca="false">SUMIFS(Raw_DSU!$D$2:$D$25,Raw_DSU!$A$2:$A$25,"chain",Raw_DSU!$B$2:$B$25,$A6,Raw_DSU!$C$2:$C$25,C$4)</f>
        <v>1997</v>
      </c>
      <c r="D6" s="7" t="n">
        <f aca="false">SUMIFS(Raw_DSU!$D$2:$D$25,Raw_DSU!$A$2:$A$25,"chain",Raw_DSU!$B$2:$B$25,$A6,Raw_DSU!$C$2:$C$25,D$4)</f>
        <v>1996</v>
      </c>
      <c r="E6" s="7" t="n">
        <f aca="false">SUMIFS(Raw_DSU!$D$2:$D$25,Raw_DSU!$A$2:$A$25,"chain",Raw_DSU!$B$2:$B$25,$A6,Raw_DSU!$C$2:$C$25,E$4)</f>
        <v>1996</v>
      </c>
    </row>
    <row r="7" customFormat="false" ht="15" hidden="false" customHeight="false" outlineLevel="0" collapsed="false">
      <c r="A7" s="3" t="n">
        <v>10000</v>
      </c>
      <c r="B7" s="7" t="n">
        <f aca="false">SUMIFS(Raw_DSU!$D$2:$D$25,Raw_DSU!$A$2:$A$25,"chain",Raw_DSU!$B$2:$B$25,$A7,Raw_DSU!$C$2:$C$25,B$4)</f>
        <v>49995000</v>
      </c>
      <c r="C7" s="7" t="n">
        <f aca="false">SUMIFS(Raw_DSU!$D$2:$D$25,Raw_DSU!$A$2:$A$25,"chain",Raw_DSU!$B$2:$B$25,$A7,Raw_DSU!$C$2:$C$25,C$4)</f>
        <v>19997</v>
      </c>
      <c r="D7" s="7" t="n">
        <f aca="false">SUMIFS(Raw_DSU!$D$2:$D$25,Raw_DSU!$A$2:$A$25,"chain",Raw_DSU!$B$2:$B$25,$A7,Raw_DSU!$C$2:$C$25,D$4)</f>
        <v>19996</v>
      </c>
      <c r="E7" s="7" t="n">
        <f aca="false">SUMIFS(Raw_DSU!$D$2:$D$25,Raw_DSU!$A$2:$A$25,"chain",Raw_DSU!$B$2:$B$25,$A7,Raw_DSU!$C$2:$C$25,E$4)</f>
        <v>19996</v>
      </c>
    </row>
    <row r="22" customFormat="false" ht="15" hidden="false" customHeight="false" outlineLevel="0" collapsed="false">
      <c r="A22" s="5" t="s">
        <v>48</v>
      </c>
    </row>
    <row r="23" customFormat="false" ht="26.85" hidden="false" customHeight="false" outlineLevel="0" collapsed="false">
      <c r="A23" s="2" t="s">
        <v>43</v>
      </c>
      <c r="B23" s="2" t="s">
        <v>44</v>
      </c>
      <c r="C23" s="2" t="s">
        <v>45</v>
      </c>
      <c r="D23" s="2" t="s">
        <v>46</v>
      </c>
      <c r="E23" s="2" t="s">
        <v>47</v>
      </c>
    </row>
    <row r="24" customFormat="false" ht="15" hidden="false" customHeight="false" outlineLevel="0" collapsed="false">
      <c r="A24" s="3" t="n">
        <v>100</v>
      </c>
      <c r="B24" s="7" t="n">
        <f aca="false">SUMIFS(Raw_DSU!$D$2:$D$25,Raw_DSU!$A$2:$A$25,"random",Raw_DSU!$B$2:$B$25,$A24,Raw_DSU!$C$2:$C$25,B$23)</f>
        <v>15472</v>
      </c>
      <c r="C24" s="7" t="n">
        <f aca="false">SUMIFS(Raw_DSU!$D$2:$D$25,Raw_DSU!$A$2:$A$25,"random",Raw_DSU!$B$2:$B$25,$A24,Raw_DSU!$C$2:$C$25,C$23)</f>
        <v>1577</v>
      </c>
      <c r="D24" s="7" t="n">
        <f aca="false">SUMIFS(Raw_DSU!$D$2:$D$25,Raw_DSU!$A$2:$A$25,"random",Raw_DSU!$B$2:$B$25,$A24,Raw_DSU!$C$2:$C$25,D$23)</f>
        <v>1631</v>
      </c>
      <c r="E24" s="7" t="n">
        <f aca="false">SUMIFS(Raw_DSU!$D$2:$D$25,Raw_DSU!$A$2:$A$25,"random",Raw_DSU!$B$2:$B$25,$A24,Raw_DSU!$C$2:$C$25,E$23)</f>
        <v>1019</v>
      </c>
    </row>
    <row r="25" customFormat="false" ht="15" hidden="false" customHeight="false" outlineLevel="0" collapsed="false">
      <c r="A25" s="3" t="n">
        <v>1000</v>
      </c>
      <c r="B25" s="7" t="n">
        <f aca="false">SUMIFS(Raw_DSU!$D$2:$D$25,Raw_DSU!$A$2:$A$25,"random",Raw_DSU!$B$2:$B$25,$A25,Raw_DSU!$C$2:$C$25,B$23)</f>
        <v>1127741</v>
      </c>
      <c r="C25" s="7" t="n">
        <f aca="false">SUMIFS(Raw_DSU!$D$2:$D$25,Raw_DSU!$A$2:$A$25,"random",Raw_DSU!$B$2:$B$25,$A25,Raw_DSU!$C$2:$C$25,C$23)</f>
        <v>17330</v>
      </c>
      <c r="D25" s="7" t="n">
        <f aca="false">SUMIFS(Raw_DSU!$D$2:$D$25,Raw_DSU!$A$2:$A$25,"random",Raw_DSU!$B$2:$B$25,$A25,Raw_DSU!$C$2:$C$25,D$23)</f>
        <v>17923</v>
      </c>
      <c r="E25" s="7" t="n">
        <f aca="false">SUMIFS(Raw_DSU!$D$2:$D$25,Raw_DSU!$A$2:$A$25,"random",Raw_DSU!$B$2:$B$25,$A25,Raw_DSU!$C$2:$C$25,E$23)</f>
        <v>10443</v>
      </c>
    </row>
    <row r="26" customFormat="false" ht="15" hidden="false" customHeight="false" outlineLevel="0" collapsed="false">
      <c r="A26" s="3" t="n">
        <v>10000</v>
      </c>
      <c r="B26" s="7" t="n">
        <f aca="false">SUMIFS(Raw_DSU!$D$2:$D$25,Raw_DSU!$A$2:$A$25,"random",Raw_DSU!$B$2:$B$25,$A26,Raw_DSU!$C$2:$C$25,B$23)</f>
        <v>107555300</v>
      </c>
      <c r="C26" s="7" t="n">
        <f aca="false">SUMIFS(Raw_DSU!$D$2:$D$25,Raw_DSU!$A$2:$A$25,"random",Raw_DSU!$B$2:$B$25,$A26,Raw_DSU!$C$2:$C$25,C$23)</f>
        <v>220715</v>
      </c>
      <c r="D26" s="7" t="n">
        <f aca="false">SUMIFS(Raw_DSU!$D$2:$D$25,Raw_DSU!$A$2:$A$25,"random",Raw_DSU!$B$2:$B$25,$A26,Raw_DSU!$C$2:$C$25,D$23)</f>
        <v>192266</v>
      </c>
      <c r="E26" s="7" t="n">
        <f aca="false">SUMIFS(Raw_DSU!$D$2:$D$25,Raw_DSU!$A$2:$A$25,"random",Raw_DSU!$B$2:$B$25,$A26,Raw_DSU!$C$2:$C$25,E$23)</f>
        <v>105021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  <col collapsed="false" customWidth="true" hidden="false" outlineLevel="0" max="9" min="9" style="0" width="34"/>
  </cols>
  <sheetData>
    <row r="1" customFormat="false" ht="26.8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customFormat="false" ht="15" hidden="false" customHeight="false" outlineLevel="0" collapsed="false">
      <c r="A2" s="3" t="s">
        <v>10</v>
      </c>
      <c r="B2" s="3" t="n">
        <v>10</v>
      </c>
      <c r="C2" s="3" t="n">
        <v>30</v>
      </c>
      <c r="D2" s="3" t="s">
        <v>11</v>
      </c>
      <c r="E2" s="3" t="n">
        <v>1.74</v>
      </c>
      <c r="F2" s="3" t="n">
        <v>14</v>
      </c>
      <c r="G2" s="3" t="n">
        <v>107</v>
      </c>
      <c r="H2" s="3" t="n">
        <v>42</v>
      </c>
      <c r="I2" s="3" t="s">
        <v>12</v>
      </c>
    </row>
    <row r="3" customFormat="false" ht="15" hidden="false" customHeight="false" outlineLevel="0" collapsed="false">
      <c r="A3" s="3" t="s">
        <v>10</v>
      </c>
      <c r="B3" s="3" t="n">
        <v>10</v>
      </c>
      <c r="C3" s="3" t="n">
        <v>30</v>
      </c>
      <c r="D3" s="3" t="s">
        <v>13</v>
      </c>
      <c r="E3" s="3" t="n">
        <v>0.58</v>
      </c>
      <c r="F3" s="3" t="n">
        <v>56</v>
      </c>
      <c r="G3" s="3" t="n">
        <v>144</v>
      </c>
      <c r="H3" s="3" t="n">
        <v>0</v>
      </c>
      <c r="I3" s="3" t="s">
        <v>12</v>
      </c>
    </row>
    <row r="4" customFormat="false" ht="15" hidden="false" customHeight="false" outlineLevel="0" collapsed="false">
      <c r="A4" s="3" t="s">
        <v>10</v>
      </c>
      <c r="B4" s="3" t="n">
        <v>10</v>
      </c>
      <c r="C4" s="3" t="n">
        <v>30</v>
      </c>
      <c r="D4" s="3" t="s">
        <v>14</v>
      </c>
      <c r="E4" s="3" t="n">
        <v>0.25</v>
      </c>
      <c r="F4" s="3" t="n">
        <v>30</v>
      </c>
      <c r="G4" s="3" t="n">
        <v>0</v>
      </c>
      <c r="H4" s="3" t="n">
        <v>0</v>
      </c>
      <c r="I4" s="3" t="s">
        <v>15</v>
      </c>
    </row>
    <row r="5" customFormat="false" ht="15" hidden="false" customHeight="false" outlineLevel="0" collapsed="false">
      <c r="A5" s="3" t="s">
        <v>10</v>
      </c>
      <c r="B5" s="3" t="n">
        <v>10</v>
      </c>
      <c r="C5" s="3" t="n">
        <v>30</v>
      </c>
      <c r="D5" s="3" t="s">
        <v>16</v>
      </c>
      <c r="E5" s="3" t="n">
        <v>0.18</v>
      </c>
      <c r="F5" s="3" t="n">
        <v>60</v>
      </c>
      <c r="G5" s="3" t="n">
        <v>0</v>
      </c>
      <c r="H5" s="3" t="n">
        <v>0</v>
      </c>
      <c r="I5" s="3" t="s">
        <v>17</v>
      </c>
    </row>
    <row r="6" customFormat="false" ht="15" hidden="false" customHeight="false" outlineLevel="0" collapsed="false">
      <c r="A6" s="3" t="s">
        <v>10</v>
      </c>
      <c r="B6" s="3" t="n">
        <v>10</v>
      </c>
      <c r="C6" s="3" t="n">
        <v>30</v>
      </c>
      <c r="D6" s="3" t="s">
        <v>18</v>
      </c>
      <c r="E6" s="3" t="n">
        <v>0.06</v>
      </c>
      <c r="F6" s="3" t="n">
        <v>35</v>
      </c>
      <c r="G6" s="3" t="n">
        <v>0</v>
      </c>
      <c r="H6" s="3" t="n">
        <v>0</v>
      </c>
      <c r="I6" s="3" t="s">
        <v>19</v>
      </c>
    </row>
    <row r="7" customFormat="false" ht="15" hidden="false" customHeight="false" outlineLevel="0" collapsed="false">
      <c r="A7" s="3" t="s">
        <v>10</v>
      </c>
      <c r="B7" s="3" t="n">
        <v>10</v>
      </c>
      <c r="C7" s="3" t="n">
        <v>30</v>
      </c>
      <c r="D7" s="3" t="s">
        <v>20</v>
      </c>
      <c r="E7" s="3" t="n">
        <v>0.28</v>
      </c>
      <c r="F7" s="3" t="n">
        <v>25</v>
      </c>
      <c r="G7" s="3" t="n">
        <v>18</v>
      </c>
      <c r="H7" s="3" t="n">
        <v>0</v>
      </c>
      <c r="I7" s="3" t="s">
        <v>21</v>
      </c>
    </row>
    <row r="8" customFormat="false" ht="15" hidden="false" customHeight="false" outlineLevel="0" collapsed="false">
      <c r="A8" s="3" t="s">
        <v>22</v>
      </c>
      <c r="B8" s="3" t="n">
        <v>100</v>
      </c>
      <c r="C8" s="3" t="n">
        <v>500</v>
      </c>
      <c r="D8" s="3" t="s">
        <v>11</v>
      </c>
      <c r="E8" s="3" t="n">
        <v>35.13</v>
      </c>
      <c r="F8" s="3" t="n">
        <v>164</v>
      </c>
      <c r="G8" s="3" t="n">
        <v>3827</v>
      </c>
      <c r="H8" s="3" t="n">
        <v>492</v>
      </c>
      <c r="I8" s="3" t="s">
        <v>23</v>
      </c>
    </row>
    <row r="9" customFormat="false" ht="15" hidden="false" customHeight="false" outlineLevel="0" collapsed="false">
      <c r="A9" s="3" t="s">
        <v>22</v>
      </c>
      <c r="B9" s="3" t="n">
        <v>100</v>
      </c>
      <c r="C9" s="3" t="n">
        <v>500</v>
      </c>
      <c r="D9" s="3" t="s">
        <v>13</v>
      </c>
      <c r="E9" s="3" t="n">
        <v>11.74</v>
      </c>
      <c r="F9" s="3" t="n">
        <v>993</v>
      </c>
      <c r="G9" s="3" t="n">
        <v>3742</v>
      </c>
      <c r="H9" s="3" t="n">
        <v>0</v>
      </c>
      <c r="I9" s="3" t="s">
        <v>23</v>
      </c>
    </row>
    <row r="10" customFormat="false" ht="15" hidden="false" customHeight="false" outlineLevel="0" collapsed="false">
      <c r="A10" s="3" t="s">
        <v>22</v>
      </c>
      <c r="B10" s="3" t="n">
        <v>100</v>
      </c>
      <c r="C10" s="3" t="n">
        <v>500</v>
      </c>
      <c r="D10" s="3" t="s">
        <v>14</v>
      </c>
      <c r="E10" s="3" t="n">
        <v>3.45</v>
      </c>
      <c r="F10" s="3" t="n">
        <v>500</v>
      </c>
      <c r="G10" s="3" t="n">
        <v>0</v>
      </c>
      <c r="H10" s="3" t="n">
        <v>0</v>
      </c>
      <c r="I10" s="3" t="s">
        <v>24</v>
      </c>
    </row>
    <row r="11" customFormat="false" ht="15" hidden="false" customHeight="false" outlineLevel="0" collapsed="false">
      <c r="A11" s="3" t="s">
        <v>22</v>
      </c>
      <c r="B11" s="3" t="n">
        <v>100</v>
      </c>
      <c r="C11" s="3" t="n">
        <v>500</v>
      </c>
      <c r="D11" s="3" t="s">
        <v>16</v>
      </c>
      <c r="E11" s="3" t="n">
        <v>2.03</v>
      </c>
      <c r="F11" s="3" t="n">
        <v>1000</v>
      </c>
      <c r="G11" s="3" t="n">
        <v>0</v>
      </c>
      <c r="H11" s="3" t="n">
        <v>0</v>
      </c>
      <c r="I11" s="3" t="s">
        <v>17</v>
      </c>
    </row>
    <row r="12" customFormat="false" ht="15" hidden="false" customHeight="false" outlineLevel="0" collapsed="false">
      <c r="A12" s="3" t="s">
        <v>22</v>
      </c>
      <c r="B12" s="3" t="n">
        <v>100</v>
      </c>
      <c r="C12" s="3" t="n">
        <v>500</v>
      </c>
      <c r="D12" s="3" t="s">
        <v>18</v>
      </c>
      <c r="E12" s="3" t="n">
        <v>0.33</v>
      </c>
      <c r="F12" s="3" t="n">
        <v>515</v>
      </c>
      <c r="G12" s="3" t="n">
        <v>0</v>
      </c>
      <c r="H12" s="3" t="n">
        <v>0</v>
      </c>
      <c r="I12" s="3" t="s">
        <v>25</v>
      </c>
    </row>
    <row r="13" customFormat="false" ht="15" hidden="false" customHeight="false" outlineLevel="0" collapsed="false">
      <c r="A13" s="3" t="s">
        <v>22</v>
      </c>
      <c r="B13" s="3" t="n">
        <v>100</v>
      </c>
      <c r="C13" s="3" t="n">
        <v>500</v>
      </c>
      <c r="D13" s="3" t="s">
        <v>20</v>
      </c>
      <c r="E13" s="3" t="n">
        <v>5.69</v>
      </c>
      <c r="F13" s="3" t="n">
        <v>485</v>
      </c>
      <c r="G13" s="3" t="n">
        <v>1439</v>
      </c>
      <c r="H13" s="3" t="n">
        <v>0</v>
      </c>
      <c r="I13" s="3" t="s">
        <v>26</v>
      </c>
    </row>
    <row r="14" customFormat="false" ht="15" hidden="false" customHeight="false" outlineLevel="0" collapsed="false">
      <c r="A14" s="3" t="s">
        <v>27</v>
      </c>
      <c r="B14" s="3" t="n">
        <v>1000</v>
      </c>
      <c r="C14" s="3" t="n">
        <v>5000</v>
      </c>
      <c r="D14" s="3" t="s">
        <v>11</v>
      </c>
      <c r="E14" s="3" t="n">
        <v>610.99</v>
      </c>
      <c r="F14" s="3" t="n">
        <v>3356</v>
      </c>
      <c r="G14" s="3" t="n">
        <v>50369</v>
      </c>
      <c r="H14" s="3" t="n">
        <v>10068</v>
      </c>
      <c r="I14" s="3" t="s">
        <v>28</v>
      </c>
    </row>
    <row r="15" customFormat="false" ht="15" hidden="false" customHeight="false" outlineLevel="0" collapsed="false">
      <c r="A15" s="3" t="s">
        <v>27</v>
      </c>
      <c r="B15" s="3" t="n">
        <v>1000</v>
      </c>
      <c r="C15" s="3" t="n">
        <v>5000</v>
      </c>
      <c r="D15" s="3" t="s">
        <v>13</v>
      </c>
      <c r="E15" s="3" t="n">
        <v>881.97</v>
      </c>
      <c r="F15" s="3" t="n">
        <v>9997</v>
      </c>
      <c r="G15" s="3" t="n">
        <v>85148</v>
      </c>
      <c r="H15" s="3" t="n">
        <v>0</v>
      </c>
      <c r="I15" s="3" t="s">
        <v>28</v>
      </c>
    </row>
    <row r="16" customFormat="false" ht="15" hidden="false" customHeight="false" outlineLevel="0" collapsed="false">
      <c r="A16" s="3" t="s">
        <v>27</v>
      </c>
      <c r="B16" s="3" t="n">
        <v>1000</v>
      </c>
      <c r="C16" s="3" t="n">
        <v>5000</v>
      </c>
      <c r="D16" s="3" t="s">
        <v>14</v>
      </c>
      <c r="E16" s="3" t="n">
        <v>100.32</v>
      </c>
      <c r="F16" s="3" t="n">
        <v>5000</v>
      </c>
      <c r="G16" s="3" t="n">
        <v>0</v>
      </c>
      <c r="H16" s="3" t="n">
        <v>0</v>
      </c>
      <c r="I16" s="3" t="s">
        <v>29</v>
      </c>
    </row>
    <row r="17" customFormat="false" ht="15" hidden="false" customHeight="false" outlineLevel="0" collapsed="false">
      <c r="A17" s="3" t="s">
        <v>27</v>
      </c>
      <c r="B17" s="3" t="n">
        <v>1000</v>
      </c>
      <c r="C17" s="3" t="n">
        <v>5000</v>
      </c>
      <c r="D17" s="3" t="s">
        <v>16</v>
      </c>
      <c r="E17" s="3" t="n">
        <v>66.36</v>
      </c>
      <c r="F17" s="3" t="n">
        <v>10000</v>
      </c>
      <c r="G17" s="3" t="n">
        <v>0</v>
      </c>
      <c r="H17" s="3" t="n">
        <v>0</v>
      </c>
      <c r="I17" s="3" t="s">
        <v>17</v>
      </c>
    </row>
    <row r="18" customFormat="false" ht="15" hidden="false" customHeight="false" outlineLevel="0" collapsed="false">
      <c r="A18" s="3" t="s">
        <v>27</v>
      </c>
      <c r="B18" s="3" t="n">
        <v>1000</v>
      </c>
      <c r="C18" s="3" t="n">
        <v>5000</v>
      </c>
      <c r="D18" s="3" t="s">
        <v>18</v>
      </c>
      <c r="E18" s="3" t="n">
        <v>9.37</v>
      </c>
      <c r="F18" s="3" t="n">
        <v>5031</v>
      </c>
      <c r="G18" s="3" t="n">
        <v>0</v>
      </c>
      <c r="H18" s="3" t="n">
        <v>0</v>
      </c>
      <c r="I18" s="3" t="s">
        <v>30</v>
      </c>
    </row>
    <row r="19" customFormat="false" ht="15" hidden="false" customHeight="false" outlineLevel="0" collapsed="false">
      <c r="A19" s="3" t="s">
        <v>27</v>
      </c>
      <c r="B19" s="3" t="n">
        <v>1000</v>
      </c>
      <c r="C19" s="3" t="n">
        <v>5000</v>
      </c>
      <c r="D19" s="3" t="s">
        <v>20</v>
      </c>
      <c r="E19" s="3" t="n">
        <v>305.3</v>
      </c>
      <c r="F19" s="3" t="n">
        <v>4969</v>
      </c>
      <c r="G19" s="3" t="n">
        <v>23478</v>
      </c>
      <c r="H19" s="3" t="n">
        <v>0</v>
      </c>
      <c r="I19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  <col collapsed="false" customWidth="true" hidden="false" outlineLevel="0" max="9" min="9" style="0" width="34"/>
  </cols>
  <sheetData>
    <row r="1" customFormat="false" ht="26.8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customFormat="false" ht="15" hidden="false" customHeight="false" outlineLevel="0" collapsed="false">
      <c r="A2" s="3" t="s">
        <v>49</v>
      </c>
      <c r="B2" s="3" t="n">
        <v>100</v>
      </c>
      <c r="C2" s="3" t="n">
        <v>500</v>
      </c>
      <c r="D2" s="3" t="s">
        <v>11</v>
      </c>
      <c r="E2" s="3" t="n">
        <v>40.27</v>
      </c>
      <c r="F2" s="3" t="n">
        <v>164</v>
      </c>
      <c r="G2" s="3" t="n">
        <v>3827</v>
      </c>
      <c r="H2" s="3" t="n">
        <v>492</v>
      </c>
      <c r="I2" s="3" t="s">
        <v>23</v>
      </c>
    </row>
    <row r="3" customFormat="false" ht="15" hidden="false" customHeight="false" outlineLevel="0" collapsed="false">
      <c r="A3" s="3" t="s">
        <v>49</v>
      </c>
      <c r="B3" s="3" t="n">
        <v>100</v>
      </c>
      <c r="C3" s="3" t="n">
        <v>500</v>
      </c>
      <c r="D3" s="3" t="s">
        <v>13</v>
      </c>
      <c r="E3" s="3" t="n">
        <v>20.99</v>
      </c>
      <c r="F3" s="3" t="n">
        <v>993</v>
      </c>
      <c r="G3" s="3" t="n">
        <v>3742</v>
      </c>
      <c r="H3" s="3" t="n">
        <v>0</v>
      </c>
      <c r="I3" s="3" t="s">
        <v>23</v>
      </c>
    </row>
    <row r="4" customFormat="false" ht="15" hidden="false" customHeight="false" outlineLevel="0" collapsed="false">
      <c r="A4" s="3" t="s">
        <v>49</v>
      </c>
      <c r="B4" s="3" t="n">
        <v>100</v>
      </c>
      <c r="C4" s="3" t="n">
        <v>500</v>
      </c>
      <c r="D4" s="3" t="s">
        <v>14</v>
      </c>
      <c r="E4" s="3" t="n">
        <v>5.43</v>
      </c>
      <c r="F4" s="3" t="n">
        <v>500</v>
      </c>
      <c r="G4" s="3" t="n">
        <v>0</v>
      </c>
      <c r="H4" s="3" t="n">
        <v>0</v>
      </c>
      <c r="I4" s="3" t="s">
        <v>24</v>
      </c>
    </row>
    <row r="5" customFormat="false" ht="15" hidden="false" customHeight="false" outlineLevel="0" collapsed="false">
      <c r="A5" s="3" t="s">
        <v>49</v>
      </c>
      <c r="B5" s="3" t="n">
        <v>100</v>
      </c>
      <c r="C5" s="3" t="n">
        <v>500</v>
      </c>
      <c r="D5" s="3" t="s">
        <v>16</v>
      </c>
      <c r="E5" s="3" t="n">
        <v>3.15</v>
      </c>
      <c r="F5" s="3" t="n">
        <v>1000</v>
      </c>
      <c r="G5" s="3" t="n">
        <v>0</v>
      </c>
      <c r="H5" s="3" t="n">
        <v>0</v>
      </c>
      <c r="I5" s="3" t="s">
        <v>17</v>
      </c>
    </row>
    <row r="6" customFormat="false" ht="15" hidden="false" customHeight="false" outlineLevel="0" collapsed="false">
      <c r="A6" s="3" t="s">
        <v>49</v>
      </c>
      <c r="B6" s="3" t="n">
        <v>100</v>
      </c>
      <c r="C6" s="3" t="n">
        <v>500</v>
      </c>
      <c r="D6" s="3" t="s">
        <v>18</v>
      </c>
      <c r="E6" s="3" t="n">
        <v>0.66</v>
      </c>
      <c r="F6" s="3" t="n">
        <v>515</v>
      </c>
      <c r="G6" s="3" t="n">
        <v>0</v>
      </c>
      <c r="H6" s="3" t="n">
        <v>0</v>
      </c>
      <c r="I6" s="3" t="s">
        <v>25</v>
      </c>
    </row>
    <row r="7" customFormat="false" ht="15" hidden="false" customHeight="false" outlineLevel="0" collapsed="false">
      <c r="A7" s="3" t="s">
        <v>49</v>
      </c>
      <c r="B7" s="3" t="n">
        <v>100</v>
      </c>
      <c r="C7" s="3" t="n">
        <v>500</v>
      </c>
      <c r="D7" s="3" t="s">
        <v>20</v>
      </c>
      <c r="E7" s="3" t="n">
        <v>13.96</v>
      </c>
      <c r="F7" s="3" t="n">
        <v>485</v>
      </c>
      <c r="G7" s="3" t="n">
        <v>1439</v>
      </c>
      <c r="H7" s="3" t="n">
        <v>0</v>
      </c>
      <c r="I7" s="3" t="s">
        <v>26</v>
      </c>
    </row>
    <row r="8" customFormat="false" ht="15" hidden="false" customHeight="false" outlineLevel="0" collapsed="false">
      <c r="A8" s="3" t="s">
        <v>49</v>
      </c>
      <c r="B8" s="3" t="n">
        <v>250</v>
      </c>
      <c r="C8" s="3" t="n">
        <v>1250</v>
      </c>
      <c r="D8" s="3" t="s">
        <v>11</v>
      </c>
      <c r="E8" s="3" t="n">
        <v>132.19</v>
      </c>
      <c r="F8" s="3" t="n">
        <v>658</v>
      </c>
      <c r="G8" s="3" t="n">
        <v>11261</v>
      </c>
      <c r="H8" s="3" t="n">
        <v>1974</v>
      </c>
      <c r="I8" s="3" t="s">
        <v>50</v>
      </c>
    </row>
    <row r="9" customFormat="false" ht="15" hidden="false" customHeight="false" outlineLevel="0" collapsed="false">
      <c r="A9" s="3" t="s">
        <v>49</v>
      </c>
      <c r="B9" s="3" t="n">
        <v>250</v>
      </c>
      <c r="C9" s="3" t="n">
        <v>1250</v>
      </c>
      <c r="D9" s="3" t="s">
        <v>13</v>
      </c>
      <c r="E9" s="3" t="n">
        <v>123.17</v>
      </c>
      <c r="F9" s="3" t="n">
        <v>2495</v>
      </c>
      <c r="G9" s="3" t="n">
        <v>14733</v>
      </c>
      <c r="H9" s="3" t="n">
        <v>0</v>
      </c>
      <c r="I9" s="3" t="s">
        <v>50</v>
      </c>
    </row>
    <row r="10" customFormat="false" ht="15" hidden="false" customHeight="false" outlineLevel="0" collapsed="false">
      <c r="A10" s="3" t="s">
        <v>49</v>
      </c>
      <c r="B10" s="3" t="n">
        <v>250</v>
      </c>
      <c r="C10" s="3" t="n">
        <v>1250</v>
      </c>
      <c r="D10" s="3" t="s">
        <v>14</v>
      </c>
      <c r="E10" s="3" t="n">
        <v>12.49</v>
      </c>
      <c r="F10" s="3" t="n">
        <v>1250</v>
      </c>
      <c r="G10" s="3" t="n">
        <v>0</v>
      </c>
      <c r="H10" s="3" t="n">
        <v>0</v>
      </c>
      <c r="I10" s="3" t="s">
        <v>51</v>
      </c>
    </row>
    <row r="11" customFormat="false" ht="15" hidden="false" customHeight="false" outlineLevel="0" collapsed="false">
      <c r="A11" s="3" t="s">
        <v>49</v>
      </c>
      <c r="B11" s="3" t="n">
        <v>250</v>
      </c>
      <c r="C11" s="3" t="n">
        <v>1250</v>
      </c>
      <c r="D11" s="3" t="s">
        <v>16</v>
      </c>
      <c r="E11" s="3" t="n">
        <v>13.51</v>
      </c>
      <c r="F11" s="3" t="n">
        <v>2500</v>
      </c>
      <c r="G11" s="3" t="n">
        <v>0</v>
      </c>
      <c r="H11" s="3" t="n">
        <v>0</v>
      </c>
      <c r="I11" s="3" t="s">
        <v>17</v>
      </c>
    </row>
    <row r="12" customFormat="false" ht="15" hidden="false" customHeight="false" outlineLevel="0" collapsed="false">
      <c r="A12" s="3" t="s">
        <v>49</v>
      </c>
      <c r="B12" s="3" t="n">
        <v>250</v>
      </c>
      <c r="C12" s="3" t="n">
        <v>1250</v>
      </c>
      <c r="D12" s="3" t="s">
        <v>18</v>
      </c>
      <c r="E12" s="3" t="n">
        <v>1.75</v>
      </c>
      <c r="F12" s="3" t="n">
        <v>1254</v>
      </c>
      <c r="G12" s="3" t="n">
        <v>0</v>
      </c>
      <c r="H12" s="3" t="n">
        <v>0</v>
      </c>
      <c r="I12" s="3" t="s">
        <v>52</v>
      </c>
    </row>
    <row r="13" customFormat="false" ht="15" hidden="false" customHeight="false" outlineLevel="0" collapsed="false">
      <c r="A13" s="3" t="s">
        <v>49</v>
      </c>
      <c r="B13" s="3" t="n">
        <v>250</v>
      </c>
      <c r="C13" s="3" t="n">
        <v>1250</v>
      </c>
      <c r="D13" s="3" t="s">
        <v>20</v>
      </c>
      <c r="E13" s="3" t="n">
        <v>38.91</v>
      </c>
      <c r="F13" s="3" t="n">
        <v>1246</v>
      </c>
      <c r="G13" s="3" t="n">
        <v>4927</v>
      </c>
      <c r="H13" s="3" t="n">
        <v>0</v>
      </c>
      <c r="I13" s="3" t="s">
        <v>53</v>
      </c>
    </row>
    <row r="14" customFormat="false" ht="15" hidden="false" customHeight="false" outlineLevel="0" collapsed="false">
      <c r="A14" s="3" t="s">
        <v>49</v>
      </c>
      <c r="B14" s="3" t="n">
        <v>500</v>
      </c>
      <c r="C14" s="3" t="n">
        <v>2500</v>
      </c>
      <c r="D14" s="3" t="s">
        <v>11</v>
      </c>
      <c r="E14" s="3" t="n">
        <v>310.05</v>
      </c>
      <c r="F14" s="3" t="n">
        <v>1358</v>
      </c>
      <c r="G14" s="3" t="n">
        <v>24208</v>
      </c>
      <c r="H14" s="3" t="n">
        <v>4074</v>
      </c>
      <c r="I14" s="3" t="s">
        <v>54</v>
      </c>
    </row>
    <row r="15" customFormat="false" ht="15" hidden="false" customHeight="false" outlineLevel="0" collapsed="false">
      <c r="A15" s="3" t="s">
        <v>49</v>
      </c>
      <c r="B15" s="3" t="n">
        <v>500</v>
      </c>
      <c r="C15" s="3" t="n">
        <v>2500</v>
      </c>
      <c r="D15" s="3" t="s">
        <v>13</v>
      </c>
      <c r="E15" s="3" t="n">
        <v>292.08</v>
      </c>
      <c r="F15" s="3" t="n">
        <v>4991</v>
      </c>
      <c r="G15" s="3" t="n">
        <v>32475</v>
      </c>
      <c r="H15" s="3" t="n">
        <v>0</v>
      </c>
      <c r="I15" s="3" t="s">
        <v>54</v>
      </c>
    </row>
    <row r="16" customFormat="false" ht="15" hidden="false" customHeight="false" outlineLevel="0" collapsed="false">
      <c r="A16" s="3" t="s">
        <v>49</v>
      </c>
      <c r="B16" s="3" t="n">
        <v>500</v>
      </c>
      <c r="C16" s="3" t="n">
        <v>2500</v>
      </c>
      <c r="D16" s="3" t="s">
        <v>14</v>
      </c>
      <c r="E16" s="3" t="n">
        <v>33.77</v>
      </c>
      <c r="F16" s="3" t="n">
        <v>2500</v>
      </c>
      <c r="G16" s="3" t="n">
        <v>0</v>
      </c>
      <c r="H16" s="3" t="n">
        <v>0</v>
      </c>
      <c r="I16" s="3" t="s">
        <v>55</v>
      </c>
    </row>
    <row r="17" customFormat="false" ht="15" hidden="false" customHeight="false" outlineLevel="0" collapsed="false">
      <c r="A17" s="3" t="s">
        <v>49</v>
      </c>
      <c r="B17" s="3" t="n">
        <v>500</v>
      </c>
      <c r="C17" s="3" t="n">
        <v>2500</v>
      </c>
      <c r="D17" s="3" t="s">
        <v>16</v>
      </c>
      <c r="E17" s="3" t="n">
        <v>18.15</v>
      </c>
      <c r="F17" s="3" t="n">
        <v>5000</v>
      </c>
      <c r="G17" s="3" t="n">
        <v>0</v>
      </c>
      <c r="H17" s="3" t="n">
        <v>0</v>
      </c>
      <c r="I17" s="3" t="s">
        <v>17</v>
      </c>
    </row>
    <row r="18" customFormat="false" ht="15" hidden="false" customHeight="false" outlineLevel="0" collapsed="false">
      <c r="A18" s="3" t="s">
        <v>49</v>
      </c>
      <c r="B18" s="3" t="n">
        <v>500</v>
      </c>
      <c r="C18" s="3" t="n">
        <v>2500</v>
      </c>
      <c r="D18" s="3" t="s">
        <v>18</v>
      </c>
      <c r="E18" s="3" t="n">
        <v>3.36</v>
      </c>
      <c r="F18" s="3" t="n">
        <v>2519</v>
      </c>
      <c r="G18" s="3" t="n">
        <v>0</v>
      </c>
      <c r="H18" s="3" t="n">
        <v>0</v>
      </c>
      <c r="I18" s="3" t="s">
        <v>56</v>
      </c>
    </row>
    <row r="19" customFormat="false" ht="15" hidden="false" customHeight="false" outlineLevel="0" collapsed="false">
      <c r="A19" s="3" t="s">
        <v>49</v>
      </c>
      <c r="B19" s="3" t="n">
        <v>500</v>
      </c>
      <c r="C19" s="3" t="n">
        <v>2500</v>
      </c>
      <c r="D19" s="3" t="s">
        <v>20</v>
      </c>
      <c r="E19" s="3" t="n">
        <v>116.66</v>
      </c>
      <c r="F19" s="3" t="n">
        <v>2481</v>
      </c>
      <c r="G19" s="3" t="n">
        <v>10423</v>
      </c>
      <c r="H19" s="3" t="n">
        <v>0</v>
      </c>
      <c r="I19" s="3" t="s">
        <v>57</v>
      </c>
    </row>
    <row r="20" customFormat="false" ht="15" hidden="false" customHeight="false" outlineLevel="0" collapsed="false">
      <c r="A20" s="3" t="s">
        <v>49</v>
      </c>
      <c r="B20" s="3" t="n">
        <v>1000</v>
      </c>
      <c r="C20" s="3" t="n">
        <v>5000</v>
      </c>
      <c r="D20" s="3" t="s">
        <v>11</v>
      </c>
      <c r="E20" s="3" t="n">
        <v>750.69</v>
      </c>
      <c r="F20" s="3" t="n">
        <v>3356</v>
      </c>
      <c r="G20" s="3" t="n">
        <v>50369</v>
      </c>
      <c r="H20" s="3" t="n">
        <v>10068</v>
      </c>
      <c r="I20" s="3" t="s">
        <v>28</v>
      </c>
    </row>
    <row r="21" customFormat="false" ht="15" hidden="false" customHeight="false" outlineLevel="0" collapsed="false">
      <c r="A21" s="3" t="s">
        <v>49</v>
      </c>
      <c r="B21" s="3" t="n">
        <v>1000</v>
      </c>
      <c r="C21" s="3" t="n">
        <v>5000</v>
      </c>
      <c r="D21" s="3" t="s">
        <v>13</v>
      </c>
      <c r="E21" s="3" t="n">
        <v>906</v>
      </c>
      <c r="F21" s="3" t="n">
        <v>9997</v>
      </c>
      <c r="G21" s="3" t="n">
        <v>85148</v>
      </c>
      <c r="H21" s="3" t="n">
        <v>0</v>
      </c>
      <c r="I21" s="3" t="s">
        <v>28</v>
      </c>
    </row>
    <row r="22" customFormat="false" ht="15" hidden="false" customHeight="false" outlineLevel="0" collapsed="false">
      <c r="A22" s="3" t="s">
        <v>49</v>
      </c>
      <c r="B22" s="3" t="n">
        <v>1000</v>
      </c>
      <c r="C22" s="3" t="n">
        <v>5000</v>
      </c>
      <c r="D22" s="3" t="s">
        <v>14</v>
      </c>
      <c r="E22" s="3" t="n">
        <v>61.81</v>
      </c>
      <c r="F22" s="3" t="n">
        <v>5000</v>
      </c>
      <c r="G22" s="3" t="n">
        <v>0</v>
      </c>
      <c r="H22" s="3" t="n">
        <v>0</v>
      </c>
      <c r="I22" s="3" t="s">
        <v>29</v>
      </c>
    </row>
    <row r="23" customFormat="false" ht="15" hidden="false" customHeight="false" outlineLevel="0" collapsed="false">
      <c r="A23" s="3" t="s">
        <v>49</v>
      </c>
      <c r="B23" s="3" t="n">
        <v>1000</v>
      </c>
      <c r="C23" s="3" t="n">
        <v>5000</v>
      </c>
      <c r="D23" s="3" t="s">
        <v>16</v>
      </c>
      <c r="E23" s="3" t="n">
        <v>53.57</v>
      </c>
      <c r="F23" s="3" t="n">
        <v>10000</v>
      </c>
      <c r="G23" s="3" t="n">
        <v>0</v>
      </c>
      <c r="H23" s="3" t="n">
        <v>0</v>
      </c>
      <c r="I23" s="3" t="s">
        <v>17</v>
      </c>
    </row>
    <row r="24" customFormat="false" ht="15" hidden="false" customHeight="false" outlineLevel="0" collapsed="false">
      <c r="A24" s="3" t="s">
        <v>49</v>
      </c>
      <c r="B24" s="3" t="n">
        <v>1000</v>
      </c>
      <c r="C24" s="3" t="n">
        <v>5000</v>
      </c>
      <c r="D24" s="3" t="s">
        <v>18</v>
      </c>
      <c r="E24" s="3" t="n">
        <v>5.42</v>
      </c>
      <c r="F24" s="3" t="n">
        <v>5031</v>
      </c>
      <c r="G24" s="3" t="n">
        <v>0</v>
      </c>
      <c r="H24" s="3" t="n">
        <v>0</v>
      </c>
      <c r="I24" s="3" t="s">
        <v>30</v>
      </c>
    </row>
    <row r="25" customFormat="false" ht="15" hidden="false" customHeight="false" outlineLevel="0" collapsed="false">
      <c r="A25" s="3" t="s">
        <v>49</v>
      </c>
      <c r="B25" s="3" t="n">
        <v>1000</v>
      </c>
      <c r="C25" s="3" t="n">
        <v>5000</v>
      </c>
      <c r="D25" s="3" t="s">
        <v>20</v>
      </c>
      <c r="E25" s="3" t="n">
        <v>298.4</v>
      </c>
      <c r="F25" s="3" t="n">
        <v>4969</v>
      </c>
      <c r="G25" s="3" t="n">
        <v>23478</v>
      </c>
      <c r="H25" s="3" t="n">
        <v>0</v>
      </c>
      <c r="I25" s="3" t="s">
        <v>31</v>
      </c>
    </row>
    <row r="26" customFormat="false" ht="15" hidden="false" customHeight="false" outlineLevel="0" collapsed="false">
      <c r="A26" s="3" t="s">
        <v>49</v>
      </c>
      <c r="B26" s="3" t="n">
        <v>2000</v>
      </c>
      <c r="C26" s="3" t="n">
        <v>10000</v>
      </c>
      <c r="D26" s="3" t="s">
        <v>11</v>
      </c>
      <c r="E26" s="3" t="n">
        <v>1536.73</v>
      </c>
      <c r="F26" s="3" t="n">
        <v>9602</v>
      </c>
      <c r="G26" s="3" t="n">
        <v>103223</v>
      </c>
      <c r="H26" s="3" t="n">
        <v>28806</v>
      </c>
      <c r="I26" s="3" t="s">
        <v>58</v>
      </c>
    </row>
    <row r="27" customFormat="false" ht="15" hidden="false" customHeight="false" outlineLevel="0" collapsed="false">
      <c r="A27" s="3" t="s">
        <v>49</v>
      </c>
      <c r="B27" s="3" t="n">
        <v>2000</v>
      </c>
      <c r="C27" s="3" t="n">
        <v>10000</v>
      </c>
      <c r="D27" s="3" t="s">
        <v>13</v>
      </c>
      <c r="E27" s="3" t="n">
        <v>2396.27</v>
      </c>
      <c r="F27" s="3" t="n">
        <v>19998</v>
      </c>
      <c r="G27" s="3" t="n">
        <v>238873</v>
      </c>
      <c r="H27" s="3" t="n">
        <v>0</v>
      </c>
      <c r="I27" s="3" t="s">
        <v>58</v>
      </c>
    </row>
    <row r="28" customFormat="false" ht="15" hidden="false" customHeight="false" outlineLevel="0" collapsed="false">
      <c r="A28" s="3" t="s">
        <v>49</v>
      </c>
      <c r="B28" s="3" t="n">
        <v>2000</v>
      </c>
      <c r="C28" s="3" t="n">
        <v>10000</v>
      </c>
      <c r="D28" s="3" t="s">
        <v>14</v>
      </c>
      <c r="E28" s="3" t="n">
        <v>203.05</v>
      </c>
      <c r="F28" s="3" t="n">
        <v>10000</v>
      </c>
      <c r="G28" s="3" t="n">
        <v>0</v>
      </c>
      <c r="H28" s="3" t="n">
        <v>0</v>
      </c>
      <c r="I28" s="3" t="s">
        <v>59</v>
      </c>
    </row>
    <row r="29" customFormat="false" ht="15" hidden="false" customHeight="false" outlineLevel="0" collapsed="false">
      <c r="A29" s="3" t="s">
        <v>49</v>
      </c>
      <c r="B29" s="3" t="n">
        <v>2000</v>
      </c>
      <c r="C29" s="3" t="n">
        <v>10000</v>
      </c>
      <c r="D29" s="3" t="s">
        <v>16</v>
      </c>
      <c r="E29" s="3" t="n">
        <v>118.56</v>
      </c>
      <c r="F29" s="3" t="n">
        <v>20000</v>
      </c>
      <c r="G29" s="3" t="n">
        <v>0</v>
      </c>
      <c r="H29" s="3" t="n">
        <v>0</v>
      </c>
      <c r="I29" s="3" t="s">
        <v>17</v>
      </c>
    </row>
    <row r="30" customFormat="false" ht="15" hidden="false" customHeight="false" outlineLevel="0" collapsed="false">
      <c r="A30" s="3" t="s">
        <v>49</v>
      </c>
      <c r="B30" s="3" t="n">
        <v>2000</v>
      </c>
      <c r="C30" s="3" t="n">
        <v>10000</v>
      </c>
      <c r="D30" s="3" t="s">
        <v>18</v>
      </c>
      <c r="E30" s="3" t="n">
        <v>19.19</v>
      </c>
      <c r="F30" s="3" t="n">
        <v>10050</v>
      </c>
      <c r="G30" s="3" t="n">
        <v>0</v>
      </c>
      <c r="H30" s="3" t="n">
        <v>0</v>
      </c>
      <c r="I30" s="3" t="s">
        <v>60</v>
      </c>
    </row>
    <row r="31" customFormat="false" ht="15" hidden="false" customHeight="false" outlineLevel="0" collapsed="false">
      <c r="A31" s="3" t="s">
        <v>49</v>
      </c>
      <c r="B31" s="3" t="n">
        <v>2000</v>
      </c>
      <c r="C31" s="3" t="n">
        <v>10000</v>
      </c>
      <c r="D31" s="3" t="s">
        <v>20</v>
      </c>
      <c r="E31" s="3" t="n">
        <v>548.02</v>
      </c>
      <c r="F31" s="3" t="n">
        <v>9950</v>
      </c>
      <c r="G31" s="3" t="n">
        <v>52543</v>
      </c>
      <c r="H31" s="3" t="n">
        <v>0</v>
      </c>
      <c r="I31" s="3" t="s">
        <v>61</v>
      </c>
    </row>
    <row r="32" customFormat="false" ht="15" hidden="false" customHeight="false" outlineLevel="0" collapsed="false">
      <c r="A32" s="3" t="s">
        <v>49</v>
      </c>
      <c r="B32" s="3" t="n">
        <v>5000</v>
      </c>
      <c r="C32" s="3" t="n">
        <v>25000</v>
      </c>
      <c r="D32" s="3" t="s">
        <v>11</v>
      </c>
      <c r="E32" s="3" t="n">
        <v>4390.84</v>
      </c>
      <c r="F32" s="3" t="n">
        <v>22185</v>
      </c>
      <c r="G32" s="3" t="n">
        <v>262527</v>
      </c>
      <c r="H32" s="3" t="n">
        <v>66555</v>
      </c>
      <c r="I32" s="3" t="s">
        <v>62</v>
      </c>
    </row>
    <row r="33" customFormat="false" ht="15" hidden="false" customHeight="false" outlineLevel="0" collapsed="false">
      <c r="A33" s="3" t="s">
        <v>49</v>
      </c>
      <c r="B33" s="3" t="n">
        <v>5000</v>
      </c>
      <c r="C33" s="3" t="n">
        <v>25000</v>
      </c>
      <c r="D33" s="3" t="s">
        <v>13</v>
      </c>
      <c r="E33" s="3" t="n">
        <v>7522.33</v>
      </c>
      <c r="F33" s="3" t="n">
        <v>49999</v>
      </c>
      <c r="G33" s="3" t="n">
        <v>634740</v>
      </c>
      <c r="H33" s="3" t="n">
        <v>0</v>
      </c>
      <c r="I33" s="3" t="s">
        <v>62</v>
      </c>
    </row>
    <row r="34" customFormat="false" ht="15" hidden="false" customHeight="false" outlineLevel="0" collapsed="false">
      <c r="A34" s="3" t="s">
        <v>49</v>
      </c>
      <c r="B34" s="3" t="n">
        <v>5000</v>
      </c>
      <c r="C34" s="3" t="n">
        <v>25000</v>
      </c>
      <c r="D34" s="3" t="s">
        <v>14</v>
      </c>
      <c r="E34" s="3" t="n">
        <v>571.08</v>
      </c>
      <c r="F34" s="3" t="n">
        <v>25000</v>
      </c>
      <c r="G34" s="3" t="n">
        <v>0</v>
      </c>
      <c r="H34" s="3" t="n">
        <v>0</v>
      </c>
      <c r="I34" s="3" t="s">
        <v>63</v>
      </c>
    </row>
    <row r="35" customFormat="false" ht="15" hidden="false" customHeight="false" outlineLevel="0" collapsed="false">
      <c r="A35" s="3" t="s">
        <v>49</v>
      </c>
      <c r="B35" s="3" t="n">
        <v>5000</v>
      </c>
      <c r="C35" s="3" t="n">
        <v>25000</v>
      </c>
      <c r="D35" s="3" t="s">
        <v>16</v>
      </c>
      <c r="E35" s="3" t="n">
        <v>373.66</v>
      </c>
      <c r="F35" s="3" t="n">
        <v>50000</v>
      </c>
      <c r="G35" s="3" t="n">
        <v>0</v>
      </c>
      <c r="H35" s="3" t="n">
        <v>0</v>
      </c>
      <c r="I35" s="3" t="s">
        <v>17</v>
      </c>
    </row>
    <row r="36" customFormat="false" ht="15" hidden="false" customHeight="false" outlineLevel="0" collapsed="false">
      <c r="A36" s="3" t="s">
        <v>49</v>
      </c>
      <c r="B36" s="3" t="n">
        <v>5000</v>
      </c>
      <c r="C36" s="3" t="n">
        <v>25000</v>
      </c>
      <c r="D36" s="3" t="s">
        <v>18</v>
      </c>
      <c r="E36" s="3" t="n">
        <v>60.8</v>
      </c>
      <c r="F36" s="3" t="n">
        <v>25183</v>
      </c>
      <c r="G36" s="3" t="n">
        <v>0</v>
      </c>
      <c r="H36" s="3" t="n">
        <v>0</v>
      </c>
      <c r="I36" s="3" t="s">
        <v>64</v>
      </c>
    </row>
    <row r="37" customFormat="false" ht="15" hidden="false" customHeight="false" outlineLevel="0" collapsed="false">
      <c r="A37" s="3" t="s">
        <v>49</v>
      </c>
      <c r="B37" s="3" t="n">
        <v>5000</v>
      </c>
      <c r="C37" s="3" t="n">
        <v>25000</v>
      </c>
      <c r="D37" s="3" t="s">
        <v>20</v>
      </c>
      <c r="E37" s="3" t="n">
        <v>1668.41</v>
      </c>
      <c r="F37" s="3" t="n">
        <v>24817</v>
      </c>
      <c r="G37" s="3" t="n">
        <v>153673</v>
      </c>
      <c r="H37" s="3" t="n">
        <v>0</v>
      </c>
      <c r="I37" s="3" t="s">
        <v>65</v>
      </c>
    </row>
    <row r="38" customFormat="false" ht="15" hidden="false" customHeight="false" outlineLevel="0" collapsed="false">
      <c r="A38" s="3" t="s">
        <v>49</v>
      </c>
      <c r="B38" s="3" t="n">
        <v>10000</v>
      </c>
      <c r="C38" s="3" t="n">
        <v>50000</v>
      </c>
      <c r="D38" s="3" t="s">
        <v>11</v>
      </c>
      <c r="E38" s="3" t="n">
        <v>8617.34</v>
      </c>
      <c r="F38" s="3" t="n">
        <v>44038</v>
      </c>
      <c r="G38" s="3" t="n">
        <v>527352</v>
      </c>
      <c r="H38" s="3" t="n">
        <v>132114</v>
      </c>
      <c r="I38" s="3" t="s">
        <v>66</v>
      </c>
    </row>
    <row r="39" customFormat="false" ht="15" hidden="false" customHeight="false" outlineLevel="0" collapsed="false">
      <c r="A39" s="3" t="s">
        <v>49</v>
      </c>
      <c r="B39" s="3" t="n">
        <v>10000</v>
      </c>
      <c r="C39" s="3" t="n">
        <v>50000</v>
      </c>
      <c r="D39" s="3" t="s">
        <v>13</v>
      </c>
      <c r="E39" s="3" t="n">
        <v>14520.68</v>
      </c>
      <c r="F39" s="3" t="n">
        <v>99996</v>
      </c>
      <c r="G39" s="3" t="n">
        <v>1347123</v>
      </c>
      <c r="H39" s="3" t="n">
        <v>0</v>
      </c>
      <c r="I39" s="3" t="s">
        <v>66</v>
      </c>
    </row>
    <row r="40" customFormat="false" ht="15" hidden="false" customHeight="false" outlineLevel="0" collapsed="false">
      <c r="A40" s="3" t="s">
        <v>49</v>
      </c>
      <c r="B40" s="3" t="n">
        <v>10000</v>
      </c>
      <c r="C40" s="3" t="n">
        <v>50000</v>
      </c>
      <c r="D40" s="3" t="s">
        <v>14</v>
      </c>
      <c r="E40" s="3" t="n">
        <v>1207.88</v>
      </c>
      <c r="F40" s="3" t="n">
        <v>50000</v>
      </c>
      <c r="G40" s="3" t="n">
        <v>0</v>
      </c>
      <c r="H40" s="3" t="n">
        <v>0</v>
      </c>
      <c r="I40" s="3" t="s">
        <v>67</v>
      </c>
    </row>
    <row r="41" customFormat="false" ht="15" hidden="false" customHeight="false" outlineLevel="0" collapsed="false">
      <c r="A41" s="3" t="s">
        <v>49</v>
      </c>
      <c r="B41" s="3" t="n">
        <v>10000</v>
      </c>
      <c r="C41" s="3" t="n">
        <v>50000</v>
      </c>
      <c r="D41" s="3" t="s">
        <v>16</v>
      </c>
      <c r="E41" s="3" t="n">
        <v>839.34</v>
      </c>
      <c r="F41" s="3" t="n">
        <v>100000</v>
      </c>
      <c r="G41" s="3" t="n">
        <v>0</v>
      </c>
      <c r="H41" s="3" t="n">
        <v>0</v>
      </c>
      <c r="I41" s="3" t="s">
        <v>17</v>
      </c>
    </row>
    <row r="42" customFormat="false" ht="15" hidden="false" customHeight="false" outlineLevel="0" collapsed="false">
      <c r="A42" s="3" t="s">
        <v>49</v>
      </c>
      <c r="B42" s="3" t="n">
        <v>10000</v>
      </c>
      <c r="C42" s="3" t="n">
        <v>50000</v>
      </c>
      <c r="D42" s="3" t="s">
        <v>18</v>
      </c>
      <c r="E42" s="3" t="n">
        <v>72.29</v>
      </c>
      <c r="F42" s="3" t="n">
        <v>50391</v>
      </c>
      <c r="G42" s="3" t="n">
        <v>0</v>
      </c>
      <c r="H42" s="3" t="n">
        <v>0</v>
      </c>
      <c r="I42" s="3" t="s">
        <v>68</v>
      </c>
    </row>
    <row r="43" customFormat="false" ht="15" hidden="false" customHeight="false" outlineLevel="0" collapsed="false">
      <c r="A43" s="3" t="s">
        <v>49</v>
      </c>
      <c r="B43" s="3" t="n">
        <v>10000</v>
      </c>
      <c r="C43" s="3" t="n">
        <v>50000</v>
      </c>
      <c r="D43" s="3" t="s">
        <v>20</v>
      </c>
      <c r="E43" s="3" t="n">
        <v>4639.99</v>
      </c>
      <c r="F43" s="3" t="n">
        <v>49609</v>
      </c>
      <c r="G43" s="3" t="n">
        <v>333357</v>
      </c>
      <c r="H43" s="3" t="n">
        <v>0</v>
      </c>
      <c r="I43" s="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  <col collapsed="false" customWidth="true" hidden="false" outlineLevel="0" max="9" min="9" style="0" width="34"/>
  </cols>
  <sheetData>
    <row r="1" customFormat="false" ht="26.8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customFormat="false" ht="15" hidden="false" customHeight="false" outlineLevel="0" collapsed="false">
      <c r="A2" s="3" t="s">
        <v>70</v>
      </c>
      <c r="B2" s="3" t="n">
        <v>1000</v>
      </c>
      <c r="C2" s="3" t="n">
        <v>2000</v>
      </c>
      <c r="D2" s="3" t="s">
        <v>11</v>
      </c>
      <c r="E2" s="3" t="n">
        <v>300.98</v>
      </c>
      <c r="F2" s="3" t="n">
        <v>1948</v>
      </c>
      <c r="G2" s="3" t="n">
        <v>18823</v>
      </c>
      <c r="H2" s="3" t="n">
        <v>5844</v>
      </c>
      <c r="I2" s="3" t="s">
        <v>71</v>
      </c>
    </row>
    <row r="3" customFormat="false" ht="15" hidden="false" customHeight="false" outlineLevel="0" collapsed="false">
      <c r="A3" s="3" t="s">
        <v>70</v>
      </c>
      <c r="B3" s="3" t="n">
        <v>1000</v>
      </c>
      <c r="C3" s="3" t="n">
        <v>2000</v>
      </c>
      <c r="D3" s="3" t="s">
        <v>13</v>
      </c>
      <c r="E3" s="3" t="n">
        <v>314.65</v>
      </c>
      <c r="F3" s="3" t="n">
        <v>3999</v>
      </c>
      <c r="G3" s="3" t="n">
        <v>39489</v>
      </c>
      <c r="H3" s="3" t="n">
        <v>0</v>
      </c>
      <c r="I3" s="3" t="s">
        <v>71</v>
      </c>
    </row>
    <row r="4" customFormat="false" ht="15" hidden="false" customHeight="false" outlineLevel="0" collapsed="false">
      <c r="A4" s="3" t="s">
        <v>70</v>
      </c>
      <c r="B4" s="3" t="n">
        <v>1000</v>
      </c>
      <c r="C4" s="3" t="n">
        <v>2000</v>
      </c>
      <c r="D4" s="3" t="s">
        <v>14</v>
      </c>
      <c r="E4" s="3" t="n">
        <v>45.9</v>
      </c>
      <c r="F4" s="3" t="n">
        <v>2000</v>
      </c>
      <c r="G4" s="3" t="n">
        <v>0</v>
      </c>
      <c r="H4" s="3" t="n">
        <v>0</v>
      </c>
      <c r="I4" s="3" t="s">
        <v>72</v>
      </c>
    </row>
    <row r="5" customFormat="false" ht="15" hidden="false" customHeight="false" outlineLevel="0" collapsed="false">
      <c r="A5" s="3" t="s">
        <v>70</v>
      </c>
      <c r="B5" s="3" t="n">
        <v>1000</v>
      </c>
      <c r="C5" s="3" t="n">
        <v>2000</v>
      </c>
      <c r="D5" s="3" t="s">
        <v>16</v>
      </c>
      <c r="E5" s="3" t="n">
        <v>30.47</v>
      </c>
      <c r="F5" s="3" t="n">
        <v>4000</v>
      </c>
      <c r="G5" s="3" t="n">
        <v>0</v>
      </c>
      <c r="H5" s="3" t="n">
        <v>0</v>
      </c>
      <c r="I5" s="3" t="s">
        <v>17</v>
      </c>
    </row>
    <row r="6" customFormat="false" ht="15" hidden="false" customHeight="false" outlineLevel="0" collapsed="false">
      <c r="A6" s="3" t="s">
        <v>70</v>
      </c>
      <c r="B6" s="3" t="n">
        <v>1000</v>
      </c>
      <c r="C6" s="3" t="n">
        <v>2000</v>
      </c>
      <c r="D6" s="3" t="s">
        <v>18</v>
      </c>
      <c r="E6" s="3" t="n">
        <v>7.34</v>
      </c>
      <c r="F6" s="3" t="n">
        <v>2423</v>
      </c>
      <c r="G6" s="3" t="n">
        <v>0</v>
      </c>
      <c r="H6" s="3" t="n">
        <v>0</v>
      </c>
      <c r="I6" s="3" t="s">
        <v>73</v>
      </c>
    </row>
    <row r="7" customFormat="false" ht="15" hidden="false" customHeight="false" outlineLevel="0" collapsed="false">
      <c r="A7" s="3" t="s">
        <v>70</v>
      </c>
      <c r="B7" s="3" t="n">
        <v>1000</v>
      </c>
      <c r="C7" s="3" t="n">
        <v>2000</v>
      </c>
      <c r="D7" s="3" t="s">
        <v>20</v>
      </c>
      <c r="E7" s="3" t="n">
        <v>78.57</v>
      </c>
      <c r="F7" s="3" t="n">
        <v>1577</v>
      </c>
      <c r="G7" s="3" t="n">
        <v>10263</v>
      </c>
      <c r="H7" s="3" t="n">
        <v>0</v>
      </c>
      <c r="I7" s="3" t="s">
        <v>74</v>
      </c>
    </row>
    <row r="8" customFormat="false" ht="15" hidden="false" customHeight="false" outlineLevel="0" collapsed="false">
      <c r="A8" s="3" t="s">
        <v>70</v>
      </c>
      <c r="B8" s="3" t="n">
        <v>1000</v>
      </c>
      <c r="C8" s="3" t="n">
        <v>5000</v>
      </c>
      <c r="D8" s="3" t="s">
        <v>11</v>
      </c>
      <c r="E8" s="3" t="n">
        <v>731.29</v>
      </c>
      <c r="F8" s="3" t="n">
        <v>3356</v>
      </c>
      <c r="G8" s="3" t="n">
        <v>50369</v>
      </c>
      <c r="H8" s="3" t="n">
        <v>10068</v>
      </c>
      <c r="I8" s="3" t="s">
        <v>28</v>
      </c>
    </row>
    <row r="9" customFormat="false" ht="15" hidden="false" customHeight="false" outlineLevel="0" collapsed="false">
      <c r="A9" s="3" t="s">
        <v>70</v>
      </c>
      <c r="B9" s="3" t="n">
        <v>1000</v>
      </c>
      <c r="C9" s="3" t="n">
        <v>5000</v>
      </c>
      <c r="D9" s="3" t="s">
        <v>13</v>
      </c>
      <c r="E9" s="3" t="n">
        <v>922.77</v>
      </c>
      <c r="F9" s="3" t="n">
        <v>9997</v>
      </c>
      <c r="G9" s="3" t="n">
        <v>85148</v>
      </c>
      <c r="H9" s="3" t="n">
        <v>0</v>
      </c>
      <c r="I9" s="3" t="s">
        <v>28</v>
      </c>
    </row>
    <row r="10" customFormat="false" ht="15" hidden="false" customHeight="false" outlineLevel="0" collapsed="false">
      <c r="A10" s="3" t="s">
        <v>70</v>
      </c>
      <c r="B10" s="3" t="n">
        <v>1000</v>
      </c>
      <c r="C10" s="3" t="n">
        <v>5000</v>
      </c>
      <c r="D10" s="3" t="s">
        <v>14</v>
      </c>
      <c r="E10" s="3" t="n">
        <v>70.4</v>
      </c>
      <c r="F10" s="3" t="n">
        <v>5000</v>
      </c>
      <c r="G10" s="3" t="n">
        <v>0</v>
      </c>
      <c r="H10" s="3" t="n">
        <v>0</v>
      </c>
      <c r="I10" s="3" t="s">
        <v>29</v>
      </c>
    </row>
    <row r="11" customFormat="false" ht="15" hidden="false" customHeight="false" outlineLevel="0" collapsed="false">
      <c r="A11" s="3" t="s">
        <v>70</v>
      </c>
      <c r="B11" s="3" t="n">
        <v>1000</v>
      </c>
      <c r="C11" s="3" t="n">
        <v>5000</v>
      </c>
      <c r="D11" s="3" t="s">
        <v>16</v>
      </c>
      <c r="E11" s="3" t="n">
        <v>62.21</v>
      </c>
      <c r="F11" s="3" t="n">
        <v>10000</v>
      </c>
      <c r="G11" s="3" t="n">
        <v>0</v>
      </c>
      <c r="H11" s="3" t="n">
        <v>0</v>
      </c>
      <c r="I11" s="3" t="s">
        <v>17</v>
      </c>
    </row>
    <row r="12" customFormat="false" ht="15" hidden="false" customHeight="false" outlineLevel="0" collapsed="false">
      <c r="A12" s="3" t="s">
        <v>70</v>
      </c>
      <c r="B12" s="3" t="n">
        <v>1000</v>
      </c>
      <c r="C12" s="3" t="n">
        <v>5000</v>
      </c>
      <c r="D12" s="3" t="s">
        <v>18</v>
      </c>
      <c r="E12" s="3" t="n">
        <v>8.17</v>
      </c>
      <c r="F12" s="3" t="n">
        <v>5031</v>
      </c>
      <c r="G12" s="3" t="n">
        <v>0</v>
      </c>
      <c r="H12" s="3" t="n">
        <v>0</v>
      </c>
      <c r="I12" s="3" t="s">
        <v>30</v>
      </c>
    </row>
    <row r="13" customFormat="false" ht="15" hidden="false" customHeight="false" outlineLevel="0" collapsed="false">
      <c r="A13" s="3" t="s">
        <v>70</v>
      </c>
      <c r="B13" s="3" t="n">
        <v>1000</v>
      </c>
      <c r="C13" s="3" t="n">
        <v>5000</v>
      </c>
      <c r="D13" s="3" t="s">
        <v>20</v>
      </c>
      <c r="E13" s="3" t="n">
        <v>174.88</v>
      </c>
      <c r="F13" s="3" t="n">
        <v>4969</v>
      </c>
      <c r="G13" s="3" t="n">
        <v>23478</v>
      </c>
      <c r="H13" s="3" t="n">
        <v>0</v>
      </c>
      <c r="I13" s="3" t="s">
        <v>31</v>
      </c>
    </row>
    <row r="14" customFormat="false" ht="15" hidden="false" customHeight="false" outlineLevel="0" collapsed="false">
      <c r="A14" s="3" t="s">
        <v>70</v>
      </c>
      <c r="B14" s="3" t="n">
        <v>1000</v>
      </c>
      <c r="C14" s="3" t="n">
        <v>10000</v>
      </c>
      <c r="D14" s="3" t="s">
        <v>11</v>
      </c>
      <c r="E14" s="3" t="n">
        <v>1598.33</v>
      </c>
      <c r="F14" s="3" t="n">
        <v>4083</v>
      </c>
      <c r="G14" s="3" t="n">
        <v>103055</v>
      </c>
      <c r="H14" s="3" t="n">
        <v>12249</v>
      </c>
      <c r="I14" s="3" t="s">
        <v>75</v>
      </c>
    </row>
    <row r="15" customFormat="false" ht="15" hidden="false" customHeight="false" outlineLevel="0" collapsed="false">
      <c r="A15" s="3" t="s">
        <v>70</v>
      </c>
      <c r="B15" s="3" t="n">
        <v>1000</v>
      </c>
      <c r="C15" s="3" t="n">
        <v>10000</v>
      </c>
      <c r="D15" s="3" t="s">
        <v>13</v>
      </c>
      <c r="E15" s="3" t="n">
        <v>1474.67</v>
      </c>
      <c r="F15" s="3" t="n">
        <v>19988</v>
      </c>
      <c r="G15" s="3" t="n">
        <v>121849</v>
      </c>
      <c r="H15" s="3" t="n">
        <v>0</v>
      </c>
      <c r="I15" s="3" t="s">
        <v>75</v>
      </c>
    </row>
    <row r="16" customFormat="false" ht="15" hidden="false" customHeight="false" outlineLevel="0" collapsed="false">
      <c r="A16" s="3" t="s">
        <v>70</v>
      </c>
      <c r="B16" s="3" t="n">
        <v>1000</v>
      </c>
      <c r="C16" s="3" t="n">
        <v>10000</v>
      </c>
      <c r="D16" s="3" t="s">
        <v>14</v>
      </c>
      <c r="E16" s="3" t="n">
        <v>110.93</v>
      </c>
      <c r="F16" s="3" t="n">
        <v>10000</v>
      </c>
      <c r="G16" s="3" t="n">
        <v>0</v>
      </c>
      <c r="H16" s="3" t="n">
        <v>0</v>
      </c>
      <c r="I16" s="3" t="s">
        <v>76</v>
      </c>
    </row>
    <row r="17" customFormat="false" ht="15" hidden="false" customHeight="false" outlineLevel="0" collapsed="false">
      <c r="A17" s="3" t="s">
        <v>70</v>
      </c>
      <c r="B17" s="3" t="n">
        <v>1000</v>
      </c>
      <c r="C17" s="3" t="n">
        <v>10000</v>
      </c>
      <c r="D17" s="3" t="s">
        <v>16</v>
      </c>
      <c r="E17" s="3" t="n">
        <v>89.14</v>
      </c>
      <c r="F17" s="3" t="n">
        <v>20000</v>
      </c>
      <c r="G17" s="3" t="n">
        <v>0</v>
      </c>
      <c r="H17" s="3" t="n">
        <v>0</v>
      </c>
      <c r="I17" s="3" t="s">
        <v>17</v>
      </c>
    </row>
    <row r="18" customFormat="false" ht="15" hidden="false" customHeight="false" outlineLevel="0" collapsed="false">
      <c r="A18" s="3" t="s">
        <v>70</v>
      </c>
      <c r="B18" s="3" t="n">
        <v>1000</v>
      </c>
      <c r="C18" s="3" t="n">
        <v>10000</v>
      </c>
      <c r="D18" s="3" t="s">
        <v>18</v>
      </c>
      <c r="E18" s="3" t="n">
        <v>12.2</v>
      </c>
      <c r="F18" s="3" t="n">
        <v>10000</v>
      </c>
      <c r="G18" s="3" t="n">
        <v>0</v>
      </c>
      <c r="H18" s="3" t="n">
        <v>0</v>
      </c>
      <c r="I18" s="3" t="s">
        <v>77</v>
      </c>
    </row>
    <row r="19" customFormat="false" ht="15" hidden="false" customHeight="false" outlineLevel="0" collapsed="false">
      <c r="A19" s="3" t="s">
        <v>70</v>
      </c>
      <c r="B19" s="3" t="n">
        <v>1000</v>
      </c>
      <c r="C19" s="3" t="n">
        <v>10000</v>
      </c>
      <c r="D19" s="3" t="s">
        <v>20</v>
      </c>
      <c r="E19" s="3" t="n">
        <v>425.43</v>
      </c>
      <c r="F19" s="3" t="n">
        <v>10000</v>
      </c>
      <c r="G19" s="3" t="n">
        <v>35651</v>
      </c>
      <c r="H19" s="3" t="n">
        <v>0</v>
      </c>
      <c r="I19" s="3" t="s">
        <v>78</v>
      </c>
    </row>
    <row r="20" customFormat="false" ht="15" hidden="false" customHeight="false" outlineLevel="0" collapsed="false">
      <c r="A20" s="3" t="s">
        <v>70</v>
      </c>
      <c r="B20" s="3" t="n">
        <v>1000</v>
      </c>
      <c r="C20" s="3" t="n">
        <v>20000</v>
      </c>
      <c r="D20" s="3" t="s">
        <v>11</v>
      </c>
      <c r="E20" s="3" t="n">
        <v>3100.88</v>
      </c>
      <c r="F20" s="3" t="n">
        <v>3571</v>
      </c>
      <c r="G20" s="3" t="n">
        <v>209098</v>
      </c>
      <c r="H20" s="3" t="n">
        <v>10713</v>
      </c>
      <c r="I20" s="3" t="s">
        <v>79</v>
      </c>
    </row>
    <row r="21" customFormat="false" ht="15" hidden="false" customHeight="false" outlineLevel="0" collapsed="false">
      <c r="A21" s="3" t="s">
        <v>70</v>
      </c>
      <c r="B21" s="3" t="n">
        <v>1000</v>
      </c>
      <c r="C21" s="3" t="n">
        <v>20000</v>
      </c>
      <c r="D21" s="3" t="s">
        <v>13</v>
      </c>
      <c r="E21" s="3" t="n">
        <v>1595.72</v>
      </c>
      <c r="F21" s="3" t="n">
        <v>39961</v>
      </c>
      <c r="G21" s="3" t="n">
        <v>138188</v>
      </c>
      <c r="H21" s="3" t="n">
        <v>0</v>
      </c>
      <c r="I21" s="3" t="s">
        <v>79</v>
      </c>
    </row>
    <row r="22" customFormat="false" ht="15" hidden="false" customHeight="false" outlineLevel="0" collapsed="false">
      <c r="A22" s="3" t="s">
        <v>70</v>
      </c>
      <c r="B22" s="3" t="n">
        <v>1000</v>
      </c>
      <c r="C22" s="3" t="n">
        <v>20000</v>
      </c>
      <c r="D22" s="3" t="s">
        <v>14</v>
      </c>
      <c r="E22" s="3" t="n">
        <v>136.67</v>
      </c>
      <c r="F22" s="3" t="n">
        <v>20000</v>
      </c>
      <c r="G22" s="3" t="n">
        <v>0</v>
      </c>
      <c r="H22" s="3" t="n">
        <v>0</v>
      </c>
      <c r="I22" s="3" t="s">
        <v>76</v>
      </c>
    </row>
    <row r="23" customFormat="false" ht="15" hidden="false" customHeight="false" outlineLevel="0" collapsed="false">
      <c r="A23" s="3" t="s">
        <v>70</v>
      </c>
      <c r="B23" s="3" t="n">
        <v>1000</v>
      </c>
      <c r="C23" s="3" t="n">
        <v>20000</v>
      </c>
      <c r="D23" s="3" t="s">
        <v>16</v>
      </c>
      <c r="E23" s="3" t="n">
        <v>131.97</v>
      </c>
      <c r="F23" s="3" t="n">
        <v>40000</v>
      </c>
      <c r="G23" s="3" t="n">
        <v>0</v>
      </c>
      <c r="H23" s="3" t="n">
        <v>0</v>
      </c>
      <c r="I23" s="3" t="s">
        <v>17</v>
      </c>
    </row>
    <row r="24" customFormat="false" ht="15" hidden="false" customHeight="false" outlineLevel="0" collapsed="false">
      <c r="A24" s="3" t="s">
        <v>70</v>
      </c>
      <c r="B24" s="3" t="n">
        <v>1000</v>
      </c>
      <c r="C24" s="3" t="n">
        <v>20000</v>
      </c>
      <c r="D24" s="3" t="s">
        <v>18</v>
      </c>
      <c r="E24" s="3" t="n">
        <v>32.19</v>
      </c>
      <c r="F24" s="3" t="n">
        <v>20000</v>
      </c>
      <c r="G24" s="3" t="n">
        <v>0</v>
      </c>
      <c r="H24" s="3" t="n">
        <v>0</v>
      </c>
      <c r="I24" s="3" t="s">
        <v>77</v>
      </c>
    </row>
    <row r="25" customFormat="false" ht="15" hidden="false" customHeight="false" outlineLevel="0" collapsed="false">
      <c r="A25" s="3" t="s">
        <v>70</v>
      </c>
      <c r="B25" s="3" t="n">
        <v>1000</v>
      </c>
      <c r="C25" s="3" t="n">
        <v>20000</v>
      </c>
      <c r="D25" s="3" t="s">
        <v>20</v>
      </c>
      <c r="E25" s="3" t="n">
        <v>590.02</v>
      </c>
      <c r="F25" s="3" t="n">
        <v>20000</v>
      </c>
      <c r="G25" s="3" t="n">
        <v>47765</v>
      </c>
      <c r="H25" s="3" t="n">
        <v>0</v>
      </c>
      <c r="I25" s="3" t="s">
        <v>80</v>
      </c>
    </row>
    <row r="26" customFormat="false" ht="15" hidden="false" customHeight="false" outlineLevel="0" collapsed="false">
      <c r="A26" s="3" t="s">
        <v>70</v>
      </c>
      <c r="B26" s="3" t="n">
        <v>1000</v>
      </c>
      <c r="C26" s="3" t="n">
        <v>50000</v>
      </c>
      <c r="D26" s="3" t="s">
        <v>11</v>
      </c>
      <c r="E26" s="3" t="n">
        <v>7787.08</v>
      </c>
      <c r="F26" s="3" t="n">
        <v>3939</v>
      </c>
      <c r="G26" s="3" t="n">
        <v>527830</v>
      </c>
      <c r="H26" s="3" t="n">
        <v>11817</v>
      </c>
      <c r="I26" s="3" t="s">
        <v>81</v>
      </c>
    </row>
    <row r="27" customFormat="false" ht="15" hidden="false" customHeight="false" outlineLevel="0" collapsed="false">
      <c r="A27" s="3" t="s">
        <v>70</v>
      </c>
      <c r="B27" s="3" t="n">
        <v>1000</v>
      </c>
      <c r="C27" s="3" t="n">
        <v>50000</v>
      </c>
      <c r="D27" s="3" t="s">
        <v>13</v>
      </c>
      <c r="E27" s="3" t="n">
        <v>3093.02</v>
      </c>
      <c r="F27" s="3" t="n">
        <v>99906</v>
      </c>
      <c r="G27" s="3" t="n">
        <v>228040</v>
      </c>
      <c r="H27" s="3" t="n">
        <v>0</v>
      </c>
      <c r="I27" s="3" t="s">
        <v>81</v>
      </c>
    </row>
    <row r="28" customFormat="false" ht="15" hidden="false" customHeight="false" outlineLevel="0" collapsed="false">
      <c r="A28" s="3" t="s">
        <v>70</v>
      </c>
      <c r="B28" s="3" t="n">
        <v>1000</v>
      </c>
      <c r="C28" s="3" t="n">
        <v>50000</v>
      </c>
      <c r="D28" s="3" t="s">
        <v>14</v>
      </c>
      <c r="E28" s="3" t="n">
        <v>392.88</v>
      </c>
      <c r="F28" s="3" t="n">
        <v>50000</v>
      </c>
      <c r="G28" s="3" t="n">
        <v>0</v>
      </c>
      <c r="H28" s="3" t="n">
        <v>0</v>
      </c>
      <c r="I28" s="3" t="s">
        <v>76</v>
      </c>
    </row>
    <row r="29" customFormat="false" ht="15" hidden="false" customHeight="false" outlineLevel="0" collapsed="false">
      <c r="A29" s="3" t="s">
        <v>70</v>
      </c>
      <c r="B29" s="3" t="n">
        <v>1000</v>
      </c>
      <c r="C29" s="3" t="n">
        <v>50000</v>
      </c>
      <c r="D29" s="3" t="s">
        <v>16</v>
      </c>
      <c r="E29" s="3" t="n">
        <v>440.54</v>
      </c>
      <c r="F29" s="3" t="n">
        <v>100000</v>
      </c>
      <c r="G29" s="3" t="n">
        <v>0</v>
      </c>
      <c r="H29" s="3" t="n">
        <v>0</v>
      </c>
      <c r="I29" s="3" t="s">
        <v>17</v>
      </c>
    </row>
    <row r="30" customFormat="false" ht="15" hidden="false" customHeight="false" outlineLevel="0" collapsed="false">
      <c r="A30" s="3" t="s">
        <v>70</v>
      </c>
      <c r="B30" s="3" t="n">
        <v>1000</v>
      </c>
      <c r="C30" s="3" t="n">
        <v>50000</v>
      </c>
      <c r="D30" s="3" t="s">
        <v>18</v>
      </c>
      <c r="E30" s="3" t="n">
        <v>85.61</v>
      </c>
      <c r="F30" s="3" t="n">
        <v>50000</v>
      </c>
      <c r="G30" s="3" t="n">
        <v>0</v>
      </c>
      <c r="H30" s="3" t="n">
        <v>0</v>
      </c>
      <c r="I30" s="3" t="s">
        <v>77</v>
      </c>
    </row>
    <row r="31" customFormat="false" ht="15" hidden="false" customHeight="false" outlineLevel="0" collapsed="false">
      <c r="A31" s="3" t="s">
        <v>70</v>
      </c>
      <c r="B31" s="3" t="n">
        <v>1000</v>
      </c>
      <c r="C31" s="3" t="n">
        <v>50000</v>
      </c>
      <c r="D31" s="3" t="s">
        <v>20</v>
      </c>
      <c r="E31" s="3" t="n">
        <v>1088.11</v>
      </c>
      <c r="F31" s="3" t="n">
        <v>50000</v>
      </c>
      <c r="G31" s="3" t="n">
        <v>67519</v>
      </c>
      <c r="H31" s="3" t="n">
        <v>0</v>
      </c>
      <c r="I31" s="3" t="s">
        <v>82</v>
      </c>
    </row>
    <row r="32" customFormat="false" ht="15" hidden="false" customHeight="false" outlineLevel="0" collapsed="false">
      <c r="A32" s="3" t="s">
        <v>70</v>
      </c>
      <c r="B32" s="3" t="n">
        <v>1000</v>
      </c>
      <c r="C32" s="3" t="n">
        <v>100000</v>
      </c>
      <c r="D32" s="3" t="s">
        <v>11</v>
      </c>
      <c r="E32" s="3" t="n">
        <v>14804.88</v>
      </c>
      <c r="F32" s="3" t="n">
        <v>3980</v>
      </c>
      <c r="G32" s="3" t="n">
        <v>1058747</v>
      </c>
      <c r="H32" s="3" t="n">
        <v>11940</v>
      </c>
      <c r="I32" s="3" t="s">
        <v>83</v>
      </c>
    </row>
    <row r="33" customFormat="false" ht="15" hidden="false" customHeight="false" outlineLevel="0" collapsed="false">
      <c r="A33" s="3" t="s">
        <v>70</v>
      </c>
      <c r="B33" s="3" t="n">
        <v>1000</v>
      </c>
      <c r="C33" s="3" t="n">
        <v>100000</v>
      </c>
      <c r="D33" s="3" t="s">
        <v>13</v>
      </c>
      <c r="E33" s="3" t="n">
        <v>7243.12</v>
      </c>
      <c r="F33" s="3" t="n">
        <v>199797</v>
      </c>
      <c r="G33" s="3" t="n">
        <v>341455</v>
      </c>
      <c r="H33" s="3" t="n">
        <v>0</v>
      </c>
      <c r="I33" s="3" t="s">
        <v>83</v>
      </c>
    </row>
    <row r="34" customFormat="false" ht="15" hidden="false" customHeight="false" outlineLevel="0" collapsed="false">
      <c r="A34" s="3" t="s">
        <v>70</v>
      </c>
      <c r="B34" s="3" t="n">
        <v>1000</v>
      </c>
      <c r="C34" s="3" t="n">
        <v>100000</v>
      </c>
      <c r="D34" s="3" t="s">
        <v>14</v>
      </c>
      <c r="E34" s="3" t="n">
        <v>513.01</v>
      </c>
      <c r="F34" s="3" t="n">
        <v>100000</v>
      </c>
      <c r="G34" s="3" t="n">
        <v>0</v>
      </c>
      <c r="H34" s="3" t="n">
        <v>0</v>
      </c>
      <c r="I34" s="3" t="s">
        <v>76</v>
      </c>
    </row>
    <row r="35" customFormat="false" ht="15" hidden="false" customHeight="false" outlineLevel="0" collapsed="false">
      <c r="A35" s="3" t="s">
        <v>70</v>
      </c>
      <c r="B35" s="3" t="n">
        <v>1000</v>
      </c>
      <c r="C35" s="3" t="n">
        <v>100000</v>
      </c>
      <c r="D35" s="3" t="s">
        <v>16</v>
      </c>
      <c r="E35" s="3" t="n">
        <v>482.58</v>
      </c>
      <c r="F35" s="3" t="n">
        <v>200000</v>
      </c>
      <c r="G35" s="3" t="n">
        <v>0</v>
      </c>
      <c r="H35" s="3" t="n">
        <v>0</v>
      </c>
      <c r="I35" s="3" t="s">
        <v>17</v>
      </c>
    </row>
    <row r="36" customFormat="false" ht="15" hidden="false" customHeight="false" outlineLevel="0" collapsed="false">
      <c r="A36" s="3" t="s">
        <v>70</v>
      </c>
      <c r="B36" s="3" t="n">
        <v>1000</v>
      </c>
      <c r="C36" s="3" t="n">
        <v>100000</v>
      </c>
      <c r="D36" s="3" t="s">
        <v>18</v>
      </c>
      <c r="E36" s="3" t="n">
        <v>142.09</v>
      </c>
      <c r="F36" s="3" t="n">
        <v>100000</v>
      </c>
      <c r="G36" s="3" t="n">
        <v>0</v>
      </c>
      <c r="H36" s="3" t="n">
        <v>0</v>
      </c>
      <c r="I36" s="3" t="s">
        <v>77</v>
      </c>
    </row>
    <row r="37" customFormat="false" ht="15" hidden="false" customHeight="false" outlineLevel="0" collapsed="false">
      <c r="A37" s="3" t="s">
        <v>70</v>
      </c>
      <c r="B37" s="3" t="n">
        <v>1000</v>
      </c>
      <c r="C37" s="3" t="n">
        <v>100000</v>
      </c>
      <c r="D37" s="3" t="s">
        <v>20</v>
      </c>
      <c r="E37" s="3" t="n">
        <v>1527.73</v>
      </c>
      <c r="F37" s="3" t="n">
        <v>100000</v>
      </c>
      <c r="G37" s="3" t="n">
        <v>80134</v>
      </c>
      <c r="H37" s="3" t="n">
        <v>0</v>
      </c>
      <c r="I37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2" t="s">
        <v>85</v>
      </c>
      <c r="B1" s="2" t="s">
        <v>43</v>
      </c>
      <c r="C1" s="2" t="s">
        <v>86</v>
      </c>
      <c r="D1" s="2" t="s">
        <v>87</v>
      </c>
      <c r="E1" s="2" t="s">
        <v>5</v>
      </c>
    </row>
    <row r="2" customFormat="false" ht="15" hidden="false" customHeight="false" outlineLevel="0" collapsed="false">
      <c r="A2" s="3" t="s">
        <v>88</v>
      </c>
      <c r="B2" s="3" t="n">
        <v>100</v>
      </c>
      <c r="C2" s="3" t="s">
        <v>44</v>
      </c>
      <c r="D2" s="3" t="n">
        <v>4950</v>
      </c>
      <c r="E2" s="3" t="n">
        <v>8.52</v>
      </c>
    </row>
    <row r="3" customFormat="false" ht="15" hidden="false" customHeight="false" outlineLevel="0" collapsed="false">
      <c r="A3" s="3" t="s">
        <v>89</v>
      </c>
      <c r="B3" s="3" t="n">
        <v>100</v>
      </c>
      <c r="C3" s="3" t="s">
        <v>44</v>
      </c>
      <c r="D3" s="3" t="n">
        <v>15472</v>
      </c>
      <c r="E3" s="3" t="n">
        <v>29.11</v>
      </c>
    </row>
    <row r="4" customFormat="false" ht="15" hidden="false" customHeight="false" outlineLevel="0" collapsed="false">
      <c r="A4" s="3" t="s">
        <v>88</v>
      </c>
      <c r="B4" s="3" t="n">
        <v>100</v>
      </c>
      <c r="C4" s="3" t="s">
        <v>45</v>
      </c>
      <c r="D4" s="3" t="n">
        <v>197</v>
      </c>
      <c r="E4" s="3" t="n">
        <v>1.03</v>
      </c>
    </row>
    <row r="5" customFormat="false" ht="15" hidden="false" customHeight="false" outlineLevel="0" collapsed="false">
      <c r="A5" s="3" t="s">
        <v>89</v>
      </c>
      <c r="B5" s="3" t="n">
        <v>100</v>
      </c>
      <c r="C5" s="3" t="s">
        <v>45</v>
      </c>
      <c r="D5" s="3" t="n">
        <v>1577</v>
      </c>
      <c r="E5" s="3" t="n">
        <v>14.48</v>
      </c>
    </row>
    <row r="6" customFormat="false" ht="15" hidden="false" customHeight="false" outlineLevel="0" collapsed="false">
      <c r="A6" s="3" t="s">
        <v>88</v>
      </c>
      <c r="B6" s="3" t="n">
        <v>100</v>
      </c>
      <c r="C6" s="3" t="s">
        <v>46</v>
      </c>
      <c r="D6" s="3" t="n">
        <v>196</v>
      </c>
      <c r="E6" s="3" t="n">
        <v>1.03</v>
      </c>
    </row>
    <row r="7" customFormat="false" ht="15" hidden="false" customHeight="false" outlineLevel="0" collapsed="false">
      <c r="A7" s="3" t="s">
        <v>89</v>
      </c>
      <c r="B7" s="3" t="n">
        <v>100</v>
      </c>
      <c r="C7" s="3" t="s">
        <v>46</v>
      </c>
      <c r="D7" s="3" t="n">
        <v>1631</v>
      </c>
      <c r="E7" s="3" t="n">
        <v>11.8</v>
      </c>
    </row>
    <row r="8" customFormat="false" ht="15" hidden="false" customHeight="false" outlineLevel="0" collapsed="false">
      <c r="A8" s="3" t="s">
        <v>88</v>
      </c>
      <c r="B8" s="3" t="n">
        <v>100</v>
      </c>
      <c r="C8" s="3" t="s">
        <v>47</v>
      </c>
      <c r="D8" s="3" t="n">
        <v>196</v>
      </c>
      <c r="E8" s="3" t="n">
        <v>1.19</v>
      </c>
    </row>
    <row r="9" customFormat="false" ht="15" hidden="false" customHeight="false" outlineLevel="0" collapsed="false">
      <c r="A9" s="3" t="s">
        <v>89</v>
      </c>
      <c r="B9" s="3" t="n">
        <v>100</v>
      </c>
      <c r="C9" s="3" t="s">
        <v>47</v>
      </c>
      <c r="D9" s="3" t="n">
        <v>1019</v>
      </c>
      <c r="E9" s="3" t="n">
        <v>14.38</v>
      </c>
    </row>
    <row r="10" customFormat="false" ht="15" hidden="false" customHeight="false" outlineLevel="0" collapsed="false">
      <c r="A10" s="3" t="s">
        <v>88</v>
      </c>
      <c r="B10" s="3" t="n">
        <v>1000</v>
      </c>
      <c r="C10" s="3" t="s">
        <v>44</v>
      </c>
      <c r="D10" s="3" t="n">
        <v>499500</v>
      </c>
      <c r="E10" s="3" t="n">
        <v>700.08</v>
      </c>
    </row>
    <row r="11" customFormat="false" ht="15" hidden="false" customHeight="false" outlineLevel="0" collapsed="false">
      <c r="A11" s="3" t="s">
        <v>89</v>
      </c>
      <c r="B11" s="3" t="n">
        <v>1000</v>
      </c>
      <c r="C11" s="3" t="s">
        <v>44</v>
      </c>
      <c r="D11" s="3" t="n">
        <v>1127741</v>
      </c>
      <c r="E11" s="3" t="n">
        <v>2035.73</v>
      </c>
    </row>
    <row r="12" customFormat="false" ht="15" hidden="false" customHeight="false" outlineLevel="0" collapsed="false">
      <c r="A12" s="3" t="s">
        <v>88</v>
      </c>
      <c r="B12" s="3" t="n">
        <v>1000</v>
      </c>
      <c r="C12" s="3" t="s">
        <v>45</v>
      </c>
      <c r="D12" s="3" t="n">
        <v>1997</v>
      </c>
      <c r="E12" s="3" t="n">
        <v>10.93</v>
      </c>
    </row>
    <row r="13" customFormat="false" ht="15" hidden="false" customHeight="false" outlineLevel="0" collapsed="false">
      <c r="A13" s="3" t="s">
        <v>89</v>
      </c>
      <c r="B13" s="3" t="n">
        <v>1000</v>
      </c>
      <c r="C13" s="3" t="s">
        <v>45</v>
      </c>
      <c r="D13" s="3" t="n">
        <v>17330</v>
      </c>
      <c r="E13" s="3" t="n">
        <v>131.42</v>
      </c>
    </row>
    <row r="14" customFormat="false" ht="15" hidden="false" customHeight="false" outlineLevel="0" collapsed="false">
      <c r="A14" s="3" t="s">
        <v>88</v>
      </c>
      <c r="B14" s="3" t="n">
        <v>1000</v>
      </c>
      <c r="C14" s="3" t="s">
        <v>46</v>
      </c>
      <c r="D14" s="3" t="n">
        <v>1996</v>
      </c>
      <c r="E14" s="3" t="n">
        <v>9.99</v>
      </c>
    </row>
    <row r="15" customFormat="false" ht="15" hidden="false" customHeight="false" outlineLevel="0" collapsed="false">
      <c r="A15" s="3" t="s">
        <v>89</v>
      </c>
      <c r="B15" s="3" t="n">
        <v>1000</v>
      </c>
      <c r="C15" s="3" t="s">
        <v>46</v>
      </c>
      <c r="D15" s="3" t="n">
        <v>17923</v>
      </c>
      <c r="E15" s="3" t="n">
        <v>177.86</v>
      </c>
    </row>
    <row r="16" customFormat="false" ht="15" hidden="false" customHeight="false" outlineLevel="0" collapsed="false">
      <c r="A16" s="3" t="s">
        <v>88</v>
      </c>
      <c r="B16" s="3" t="n">
        <v>1000</v>
      </c>
      <c r="C16" s="3" t="s">
        <v>47</v>
      </c>
      <c r="D16" s="3" t="n">
        <v>1996</v>
      </c>
      <c r="E16" s="3" t="n">
        <v>12.91</v>
      </c>
    </row>
    <row r="17" customFormat="false" ht="15" hidden="false" customHeight="false" outlineLevel="0" collapsed="false">
      <c r="A17" s="3" t="s">
        <v>89</v>
      </c>
      <c r="B17" s="3" t="n">
        <v>1000</v>
      </c>
      <c r="C17" s="3" t="s">
        <v>47</v>
      </c>
      <c r="D17" s="3" t="n">
        <v>10443</v>
      </c>
      <c r="E17" s="3" t="n">
        <v>126.77</v>
      </c>
    </row>
    <row r="18" customFormat="false" ht="15" hidden="false" customHeight="false" outlineLevel="0" collapsed="false">
      <c r="A18" s="3" t="s">
        <v>88</v>
      </c>
      <c r="B18" s="3" t="n">
        <v>10000</v>
      </c>
      <c r="C18" s="3" t="s">
        <v>44</v>
      </c>
      <c r="D18" s="3" t="n">
        <v>49995000</v>
      </c>
      <c r="E18" s="3" t="n">
        <v>71763.48</v>
      </c>
    </row>
    <row r="19" customFormat="false" ht="15" hidden="false" customHeight="false" outlineLevel="0" collapsed="false">
      <c r="A19" s="3" t="s">
        <v>89</v>
      </c>
      <c r="B19" s="3" t="n">
        <v>10000</v>
      </c>
      <c r="C19" s="3" t="s">
        <v>44</v>
      </c>
      <c r="D19" s="3" t="n">
        <v>107555300</v>
      </c>
      <c r="E19" s="3" t="n">
        <v>219767.98</v>
      </c>
    </row>
    <row r="20" customFormat="false" ht="15" hidden="false" customHeight="false" outlineLevel="0" collapsed="false">
      <c r="A20" s="3" t="s">
        <v>88</v>
      </c>
      <c r="B20" s="3" t="n">
        <v>10000</v>
      </c>
      <c r="C20" s="3" t="s">
        <v>45</v>
      </c>
      <c r="D20" s="3" t="n">
        <v>19997</v>
      </c>
      <c r="E20" s="3" t="n">
        <v>103.05</v>
      </c>
    </row>
    <row r="21" customFormat="false" ht="15" hidden="false" customHeight="false" outlineLevel="0" collapsed="false">
      <c r="A21" s="3" t="s">
        <v>89</v>
      </c>
      <c r="B21" s="3" t="n">
        <v>10000</v>
      </c>
      <c r="C21" s="3" t="s">
        <v>45</v>
      </c>
      <c r="D21" s="3" t="n">
        <v>220715</v>
      </c>
      <c r="E21" s="3" t="n">
        <v>1651.08</v>
      </c>
    </row>
    <row r="22" customFormat="false" ht="15" hidden="false" customHeight="false" outlineLevel="0" collapsed="false">
      <c r="A22" s="3" t="s">
        <v>88</v>
      </c>
      <c r="B22" s="3" t="n">
        <v>10000</v>
      </c>
      <c r="C22" s="3" t="s">
        <v>46</v>
      </c>
      <c r="D22" s="3" t="n">
        <v>19996</v>
      </c>
      <c r="E22" s="3" t="n">
        <v>94.65</v>
      </c>
    </row>
    <row r="23" customFormat="false" ht="15" hidden="false" customHeight="false" outlineLevel="0" collapsed="false">
      <c r="A23" s="3" t="s">
        <v>89</v>
      </c>
      <c r="B23" s="3" t="n">
        <v>10000</v>
      </c>
      <c r="C23" s="3" t="s">
        <v>46</v>
      </c>
      <c r="D23" s="3" t="n">
        <v>192266</v>
      </c>
      <c r="E23" s="3" t="n">
        <v>1696.95</v>
      </c>
    </row>
    <row r="24" customFormat="false" ht="15" hidden="false" customHeight="false" outlineLevel="0" collapsed="false">
      <c r="A24" s="3" t="s">
        <v>88</v>
      </c>
      <c r="B24" s="3" t="n">
        <v>10000</v>
      </c>
      <c r="C24" s="3" t="s">
        <v>47</v>
      </c>
      <c r="D24" s="3" t="n">
        <v>19996</v>
      </c>
      <c r="E24" s="3" t="n">
        <v>113.93</v>
      </c>
    </row>
    <row r="25" customFormat="false" ht="15" hidden="false" customHeight="false" outlineLevel="0" collapsed="false">
      <c r="A25" s="3" t="s">
        <v>89</v>
      </c>
      <c r="B25" s="3" t="n">
        <v>10000</v>
      </c>
      <c r="C25" s="3" t="s">
        <v>47</v>
      </c>
      <c r="D25" s="3" t="n">
        <v>105021</v>
      </c>
      <c r="E25" s="3" t="n">
        <v>1529.09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2026-10-19T11:59:21Z</dcterms:created>
  <dc:creator>openpyxl</dc:creator>
  <dc:description/>
  <dc:language>en-US</dc:language>
  <cp:lastModifiedBy/>
  <dcterms:modified xsi:type="dcterms:W3CDTF">2026-10-19T11:59:25Z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